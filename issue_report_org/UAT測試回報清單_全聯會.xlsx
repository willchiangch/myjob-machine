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測試回報清單" sheetId="1" r:id="rId5"/>
    <sheet state="visible" name="定義" sheetId="2" r:id="rId6"/>
    <sheet state="visible" name="測試注意事項" sheetId="3" r:id="rId7"/>
  </sheets>
  <definedNames>
    <definedName hidden="1" localSheetId="0" name="Z_C234C53D_B18B_4E85_BC1C_80AF7800FC3D_.wvu.FilterData">'測試回報清單'!$A$1:$AH$1001</definedName>
    <definedName hidden="1" localSheetId="0" name="Z_D84020A9_23BC_49C4_9751_8C9B8051D78D_.wvu.FilterData">'測試回報清單'!$A$1:$T$556</definedName>
    <definedName hidden="1" localSheetId="0" name="Z_408563C7_9A46_408A_8EAF_8859B712717B_.wvu.FilterData">'測試回報清單'!$H$1:$H$560</definedName>
    <definedName hidden="1" localSheetId="0" name="Z_A7DCD378_BE92_4F6B_86EA_62F26452EACD_.wvu.FilterData">'測試回報清單'!$A$1:$T$1557</definedName>
    <definedName hidden="1" localSheetId="0" name="Z_C38671D5_B70A_4D7B_B4C8_67AB6CF5C111_.wvu.FilterData">'測試回報清單'!$A$1:$T$444</definedName>
    <definedName hidden="1" localSheetId="0" name="Z_08015A59_CE80_4CF7_9550_B25F974F5420_.wvu.FilterData">'測試回報清單'!$A$1:$T$556</definedName>
  </definedNames>
  <calcPr/>
  <customWorkbookViews>
    <customWorkbookView activeSheetId="0" maximized="1" windowHeight="0" windowWidth="0" guid="{C234C53D-B18B-4E85-BC1C-80AF7800FC3D}" name="篩選器 1"/>
    <customWorkbookView activeSheetId="0" maximized="1" windowHeight="0" windowWidth="0" guid="{408563C7-9A46-408A-8EAF-8859B712717B}" name="覆驗失敗"/>
    <customWorkbookView activeSheetId="0" maximized="1" windowHeight="0" windowWidth="0" guid="{C38671D5-B70A-4D7B-B4C8-67AB6CF5C111}" name="需處理"/>
    <customWorkbookView activeSheetId="0" maximized="1" windowHeight="0" windowWidth="0" guid="{08015A59-CE80-4CF7-9550-B25F974F5420}" name="待修正"/>
    <customWorkbookView activeSheetId="0" maximized="1" windowHeight="0" windowWidth="0" guid="{A7DCD378-BE92-4F6B-86EA-62F26452EACD}" name="空白"/>
    <customWorkbookView activeSheetId="0" maximized="1" windowHeight="0" windowWidth="0" guid="{D84020A9-23BC-49C4-9751-8C9B8051D78D}" name="Phase2"/>
  </customWorkbookViews>
</workbook>
</file>

<file path=xl/sharedStrings.xml><?xml version="1.0" encoding="utf-8"?>
<sst xmlns="http://schemas.openxmlformats.org/spreadsheetml/2006/main" count="4270" uniqueCount="1291">
  <si>
    <t>No.</t>
  </si>
  <si>
    <t>(公會)
回報日期</t>
  </si>
  <si>
    <t>(公會)
回報人員</t>
  </si>
  <si>
    <r>
      <rPr>
        <rFont val="Arial"/>
        <b/>
        <color theme="1"/>
        <sz val="10.0"/>
      </rPr>
      <t xml:space="preserve">(公會) 問題說明 
</t>
    </r>
    <r>
      <rPr>
        <rFont val="Arial"/>
        <b/>
        <color rgb="FFFF0000"/>
        <sz val="10.0"/>
      </rPr>
      <t>(請儘量詳述操作步驟或使用的測試資料, 以利開發人員還原問題除錯)</t>
    </r>
  </si>
  <si>
    <t>特殊活動說明無法移除</t>
  </si>
  <si>
    <t>版本</t>
  </si>
  <si>
    <t>測試帳號</t>
  </si>
  <si>
    <t xml:space="preserve"> 狀態</t>
  </si>
  <si>
    <t>Priority</t>
  </si>
  <si>
    <t>處理人員</t>
  </si>
  <si>
    <t>Syscom備註</t>
  </si>
  <si>
    <t>Syscom預計調整完成日</t>
  </si>
  <si>
    <t>預計提供
UAT日期</t>
  </si>
  <si>
    <t>實際完成</t>
  </si>
  <si>
    <t>上版日期</t>
  </si>
  <si>
    <t>覆驗/處理/回覆日期</t>
  </si>
  <si>
    <t>覆驗/處理/回覆人員</t>
  </si>
  <si>
    <t>覆驗/處理/回覆狀況說明</t>
  </si>
  <si>
    <t>公會複驗通過
完成日期</t>
  </si>
  <si>
    <t>備註</t>
  </si>
  <si>
    <t>郭副祕</t>
  </si>
  <si>
    <t>這是測試用的訊息</t>
  </si>
  <si>
    <t>admin</t>
  </si>
  <si>
    <t>Cancel</t>
  </si>
  <si>
    <t>中</t>
  </si>
  <si>
    <t>Ariel</t>
  </si>
  <si>
    <t>學分計算效能優化</t>
  </si>
  <si>
    <t>Close</t>
  </si>
  <si>
    <t>已優化完畢，40萬筆資料可正常計算</t>
  </si>
  <si>
    <t>雙週會</t>
  </si>
  <si>
    <t>活動收據左下角加上經手人章(建課程/活動者)</t>
  </si>
  <si>
    <t>覆驗通過</t>
  </si>
  <si>
    <t>Samuel/Brain</t>
  </si>
  <si>
    <t xml:space="preserve">這頁的link無法查詢, 故無法測試 </t>
  </si>
  <si>
    <t>活動收據增加印花總繳的浮水印章壓在收執聯字樣附近，此項目僅需全聯會</t>
  </si>
  <si>
    <t xml:space="preserve">因應檔案正確性問題取消地方公會課程直接打到全聯會方式，轉由匯入處理
匯入範例的活動與課程分頁，要加金額欄位(非必填)，若無就是免費，有的話課程結束後讓全聯會/會計師可以印收據
承上，付款日期統一為匯入日期，繳款自動轉為現金，印花稅也以匯入日期算
</t>
  </si>
  <si>
    <t>Samuel/Ariel</t>
  </si>
  <si>
    <t>月結事務所在課程結束後學分就可以勾稽，不用等到結清</t>
  </si>
  <si>
    <t>目前只要上完課就會自動勾稽</t>
  </si>
  <si>
    <t>教學</t>
  </si>
  <si>
    <t>全聯會執業會員異動的退會改為是學分不足的廢止，狀態中文寫為"廢止(金管會)"
執業登記變更的廢止則是不幹了的那種會計師(不用改)</t>
  </si>
  <si>
    <t>Henry</t>
  </si>
  <si>
    <t>欄位有增加，會計師明細資料欄位有問題，須修正欄位字眼</t>
  </si>
  <si>
    <t>清單的會籍狀態改為執登狀態</t>
  </si>
  <si>
    <t>黃宜婷</t>
  </si>
  <si>
    <t>非執業會員也需要可以報名上課，有自己的帳號可以繳會費等</t>
  </si>
  <si>
    <t>Phase2</t>
  </si>
  <si>
    <t>難度較高為CR</t>
  </si>
  <si>
    <t>上傳印鑑卡要加註時間日期才能知道什麼時候更新</t>
  </si>
  <si>
    <t>將"最後異動日期"修正成登錄日期，日期以最新的為最上層</t>
  </si>
  <si>
    <r>
      <rPr>
        <rFont val="Arial"/>
        <color theme="1"/>
      </rPr>
      <t>學分登記表最下方的斷行可以拉回去
1.承辦公開發行公司財務簽證之會計師，每年須進修第四條第一、二款(全聯會專教會講習)14小時，第三~九款合</t>
    </r>
    <r>
      <rPr>
        <rFont val="Arial"/>
        <b/>
        <color rgb="FFFF0000"/>
      </rPr>
      <t xml:space="preserve"> 計26</t>
    </r>
  </si>
  <si>
    <t xml:space="preserve">預查功能：事務所廢止一年內也要可以被查出來
</t>
  </si>
  <si>
    <t>預查登錄的模組，新增/編輯的"原事務所名稱"改成使用下拉選單(跟事務所管理一樣)</t>
  </si>
  <si>
    <t>薇伊</t>
  </si>
  <si>
    <t>活動與課程管理中-學員學分編輯查詢-裡面的最後編輯時間要修改成"課程日期(起跟迄)"</t>
  </si>
  <si>
    <t>活動與課程管理中-學分登記表-"會籍"那邊要加一個全部的選項; 拿掉會籍編號的預設數字</t>
  </si>
  <si>
    <t>會計師持續進修小時登記表-課程日期上加上(民國年)</t>
  </si>
  <si>
    <r>
      <rPr>
        <rFont val="Arial"/>
        <color theme="1"/>
      </rPr>
      <t xml:space="preserve">"學分匯入"的EXCEL檔:
1.兩個分頁都要增加承辦單位,必填但不要求填入完整全銜.
2.課程那分頁的講師改成非必填.
3.名單頁的報到時間拿掉,由系統取中間值.
4.由此學分匯入的講師,不要進入專教會的講師庫.
5.學分數也要落入檢定範圍.
6.本檔案匯入時,請提供排除重複的防呆警告.
</t>
    </r>
    <r>
      <rPr>
        <rFont val="Arial"/>
        <color rgb="FFFF0000"/>
      </rPr>
      <t>7.檔案匯入後,要跳到學分編輯頁面.</t>
    </r>
  </si>
  <si>
    <t>活動收據的事務所與會計師文字要對調
改為 OOO 會計師               XXXXXXXX事務所</t>
  </si>
  <si>
    <t>全聯會一、二字第來文機關不能自填，影響後面報表，欄位改為可更改</t>
  </si>
  <si>
    <t>教學2</t>
  </si>
  <si>
    <t>活動的附件上傳，調整為可以上傳5個檔案，每個限制檔案10MB</t>
  </si>
  <si>
    <t>Brian</t>
  </si>
  <si>
    <t>前台[我的課程與活動]
顯示的排序邏輯如果開始報名內的排序要調整為活動日期靠近得先排
例如已報名優先，再來是活動日期靠近的</t>
  </si>
  <si>
    <t>活動日期靠近的是在後面，點“即將到來”是靠近的日期在後面，“活動與課程”也一樣</t>
  </si>
  <si>
    <t>低</t>
  </si>
  <si>
    <t>Tim</t>
  </si>
  <si>
    <t>現在已經可點選近到遠或是遠到近做排序了</t>
  </si>
  <si>
    <t>講師模組：新增/編輯除了名字都是非必填</t>
  </si>
  <si>
    <t xml:space="preserve"> </t>
  </si>
  <si>
    <t>優惠券新增時要去抓身份證字號(現在抓成北市會編)，並且要加匯入功能</t>
  </si>
  <si>
    <t>待覆驗</t>
  </si>
  <si>
    <t>優惠券一個年度只能發一次，新增/匯入檢查時發現該年度已經發過要擋掉</t>
  </si>
  <si>
    <t>第一頁學分登記公文的地址要切齊姓名，整體對齊roccpa的r字
9/4目前僅有姓名對齊,地址仍未對齊roccpa的r</t>
  </si>
  <si>
    <t>進修時數登記表的查詢介面，要多一個向下排除的勾勾，有的話查詢時就要向下排除地方公會(省公會&gt;...)</t>
  </si>
  <si>
    <t>8/24: 查詢介面新增”排除會籍“。
ex: 若會籍勾選“台灣省”，排除會籍勾選"台北市"，需要查出所有台灣省會籍的會員中不包含台北市會籍的會員</t>
  </si>
  <si>
    <t>抵用券在報名過程中沒有成功被勾消(會務/會員)
-扣法為扣一千&amp;不找零，月結也可以抵
-一次最多只能用一張優惠券
-課堂金額為1000才能使用</t>
  </si>
  <si>
    <t>menu要可以直接到助理人員清單內(不鎖事務所)</t>
  </si>
  <si>
    <t>Alan</t>
  </si>
  <si>
    <t>助理人員清單頁要有身分證字號</t>
  </si>
  <si>
    <t>收文要多一個收文型態
  有全聯會一字第 二字第 三字第 還有一般的(沒字號)，可參考發文全聯會自第一二三做法</t>
  </si>
  <si>
    <t>在助理人員送件的畫面，附件上傳多一個sample可以下載(全聯會提供空白檔)</t>
  </si>
  <si>
    <t>助理上傳要做檔案大小判定，不可超過perfomance界線</t>
  </si>
  <si>
    <t>助理送件的email非必填</t>
  </si>
  <si>
    <t>09/23覆驗為必填選項</t>
  </si>
  <si>
    <t>第二審 沒有email 報錯的bug也已修正</t>
  </si>
  <si>
    <t>助理公文完要可以指派或是自動指派</t>
  </si>
  <si>
    <t>林香如</t>
  </si>
  <si>
    <t>優惠券要能設定期限</t>
  </si>
  <si>
    <t>省公會黃總幹事</t>
  </si>
  <si>
    <t>全聯會要有功能可以查詢各會計師加入地方公會的數字
例如加入北市 XX人，加入北市與省公會XX人...</t>
  </si>
  <si>
    <t>公文簽收表調整匹配全聯會</t>
  </si>
  <si>
    <t>葉憶婷</t>
  </si>
  <si>
    <t>會員管理頁面要加一個「執業登記狀態」的篩選器</t>
  </si>
  <si>
    <t>會員資料管理&gt;會員異動，異動中的許多變更欄位，異動紀錄的明細要顯示出來(公文日期與項目)</t>
  </si>
  <si>
    <t>會員資料管理&gt;會員異動，懲戒的起訖日期不用必填</t>
  </si>
  <si>
    <t>事務所異動&gt;主分所互換轉換要有新舊所的名稱可以填寫</t>
  </si>
  <si>
    <t>會員角色登入看的會員資料頁面：會籍資料(改為北市編號移到下方的臺省編號旁邊)、會計師統編(移除)、出生地&amp;籍貫(移除)、入會日期(更名為執業登記日期)、入會發文號(更名為執業登記文號)、退會日期(移除)、註銷(死亡)會籍日期(不需要)、廢止註銷日期旁邊的公會收文號(改為廢止收文號)、發布機關&amp;公文日期&amp;公文字號&amp;發給會員證書日期&amp;會員證書字號(移除)、停權標註&amp;停權日期&amp;復權日期(移除)、不收費日期&amp;恢復收費日期(移除)、住宅地址(移除)、區號&amp;住宅電話等(移除)、Email刊登到不收會費(移除)、中華稅協&amp;稅協代理人證書等欄位(移除)</t>
  </si>
  <si>
    <t>非執業會員明細
會計師統編(移除)、頒發日期右邊的欄位(標題要寫為會計師考試及格證書字號)、奉准日期右邊的欄位(標題要寫會計師證書字號)、下方的會計師考試及格證書字號(直接移除)、通訊地址新增一個勾選(同戶籍地)</t>
  </si>
  <si>
    <t>助理人員送件
會計師資格、兩以上工作服務證書、記帳士證書，都先預設為否</t>
  </si>
  <si>
    <t>助理人員送件
打身份證字號時，若已存在於本事務所，狀態預設填離職，若否則為到職</t>
  </si>
  <si>
    <t>助理人員審核
若有上傳成績，該員姓名紅字加粗</t>
  </si>
  <si>
    <t>助理人員審核
多一個第二關審核按鈕，在第一個審核按完後才出現
※加一個function是第二關審核</t>
  </si>
  <si>
    <t>助理送件的生日改為民國年</t>
  </si>
  <si>
    <t>選單的民國年可以用打的嗎?
點選99年份，秀出來的民國年只看到的9看不到後面的確切的出生年</t>
  </si>
  <si>
    <t>助理人員送件
請在保存的按鈕旁邊
粗體黑字顯示：請於保存後，將異動表第二聯郵寄至全聯會備查</t>
  </si>
  <si>
    <t>後續增加活動模板複製功能</t>
  </si>
  <si>
    <t>活動課程建立聯絡人與Email改為非必填</t>
  </si>
  <si>
    <t>活動課程建立
到下方活動的時候名稱自動帶主標，時間自動帶活動日期</t>
  </si>
  <si>
    <t>活動課程開始前會員/用戶12小時就要不能取消
但後台要可以按取消</t>
  </si>
  <si>
    <t>邱薇伊</t>
  </si>
  <si>
    <t>課程與活動加一個學分送件功能
會計師/事務所可自行進入填寫表單送件
後台匯出即為可匯入活動之格式
後台需要有標籤可以標註是否處理完畢此項申請</t>
  </si>
  <si>
    <t>會計師資料按編輯戶籍地址應該要不可更動</t>
  </si>
  <si>
    <t>會計師資料欄位要有電話欄位</t>
  </si>
  <si>
    <t>事務所資料&gt;編輯的電話欄位要可以修改，現在是灰的</t>
  </si>
  <si>
    <t>會員查詢&gt;匯出
缺：主事務所相關資訊、執登日期、執登文號、三區域執業登記相關資訊、各地方入會日期、各地方會籍編號(北-會籍編號、北-入會日期...)</t>
  </si>
  <si>
    <t>欄位擺放需做調整</t>
  </si>
  <si>
    <t>新增/編輯會員資料，要可以增修地方公會會籍編號/入會日期的欄位</t>
  </si>
  <si>
    <t>事務所月結
鼎碩事務所8月份無法按結清，收據pdf也會錯誤</t>
  </si>
  <si>
    <t>事務所月結
哇哈哈事務所月份查詢 - 2023/6/1-2023/7/31還是會出現八月份資料</t>
  </si>
  <si>
    <t>事務所月結
匯出的Excel要有課程日期、title、事務所與報名者的資料、抵用券序號</t>
  </si>
  <si>
    <t>課程活動
再繳費的頁面多提醒，「請於30分鐘內完成繳費，逾期將取消報名」</t>
  </si>
  <si>
    <t>報表模組-洗錢不足報表-四公會那個欄位,是要產出會籍號碼;
增加4條2的欄位(洗防時數的規定是只要4條1.5.8款有3小時屬洗錢防制的就符合,但實務上若4條2有洗錢時數也會列入)</t>
  </si>
  <si>
    <t>報表模組-持續進修不足報表-四公會那個欄位,是要產出會籍號碼;</t>
  </si>
  <si>
    <t>報表模組-進修資料明細-起始日及結束日欄位格式請改為" x月x日",如當初提供之報表範本格式</t>
  </si>
  <si>
    <t>上面回報序號NO16 會計師持續進修小時登記表-課程日期上加上(民國年)
**日期可以改加在日期前面,而不是課程主題前面嗎?</t>
  </si>
  <si>
    <t>活動新增時間要可以產出兩種QR code便於報到
即上下午的課程可以分開報到與分開拿學分</t>
  </si>
  <si>
    <t>會員可以查自己的學分登記表(查詢介面要可以選年度)</t>
  </si>
  <si>
    <t>建課程時的課程年度
預設為本年度，但下拉選單可以選到本年度+1</t>
  </si>
  <si>
    <t>建立課程時，系列課程的下拉清單藥可以搜尋，也需要一併檢查是否有撈出全部資料
12/25: 目前清單中的都只能單選，沒辦法一次多選要的課程報名(反覆報名須考慮重複排除問題)</t>
  </si>
  <si>
    <t>覆驗失敗</t>
  </si>
  <si>
    <r>
      <rPr>
        <rFont val="Arial"/>
        <color theme="1"/>
      </rPr>
      <t>報表模組-持續進修不足報表:
1.電話的欄位出現手機號碼,手機欄出現e-mail;正常是電話(事務所的),手機跟mail三種資料都要產出</t>
    </r>
    <r>
      <rPr>
        <rFont val="Arial"/>
        <color rgb="FFFF0000"/>
      </rPr>
      <t xml:space="preserve">ok.
</t>
    </r>
    <r>
      <rPr>
        <rFont val="Arial"/>
        <color theme="1"/>
      </rPr>
      <t>2."廢止"欄位對應的資料應為執業登記核准的狀態;"公開"的欄位要對應公開發行財務簽證的狀態.
3.像如果產出111年未達的報表時,裡面的第19.20筆"王阿明123" 他系統資料是設定有核准公開發行簽證,但這邊的"公開"並未對應.像第3.4筆的劉燈發(張振土)
,他執業登記是核准的,但他這邊廢止欄位卻顯示y.</t>
    </r>
  </si>
  <si>
    <t>1."時數標準"條件若選擇"未達"跑出來的報表是空白的.選擇"全部"跟"已達"跑出來的筆數是一樣的
2.執業登記跟公發狀態還是沒有對應,如111年的張宗銘</t>
  </si>
  <si>
    <t>課程活動報名管理-"類型"的地方是否能有篩選功能或分類功能,不然一但所有會員的事務所自辦或其他資料都進去後,很快就破千筆或上萬筆,根本找不到自己要的課程</t>
  </si>
  <si>
    <t>學分匯入的設定,不同日期,同一課程名稱被判斷重複課程(講師跟學員都要在測試)</t>
  </si>
  <si>
    <t>Samuel</t>
  </si>
  <si>
    <t>這一題驗過沒有問題</t>
  </si>
  <si>
    <t>學分清單的警示小圖示, 要以上年度的學分為範圍, 例: 今年為112年, 查詢111年學分不足與洗防法不足來顯示</t>
  </si>
  <si>
    <t>匯入的講師,沒有依講師學分給較高的學分數</t>
  </si>
  <si>
    <t>郭馨怡</t>
  </si>
  <si>
    <t>有優惠券的會計師沒有出現使用優惠券的選項，而是出現月結的選項</t>
  </si>
  <si>
    <t>有優惠券的會計師已可選擇優惠券，但其非月結事務所，點送出報名後仍有月結的選項</t>
  </si>
  <si>
    <t>不能新增優惠券</t>
  </si>
  <si>
    <t>Sameul</t>
  </si>
  <si>
    <t>測試加入陳志光優惠卷, 確實可以加入</t>
  </si>
  <si>
    <t>課程結束，沒有任何印收據.學分的選項或按鈕</t>
  </si>
  <si>
    <t>以陳志光為例, 以本人身份登入, 在課程活動報名管理&gt;活動與課程&gt;選擇"ESG報導現況及公司治理評鑑之ESG(2)"會出現"活動收據"圖示 及 "列印學分證明" 按鈕</t>
  </si>
  <si>
    <t>石淯伶</t>
  </si>
  <si>
    <t>課程結束後，填寫問題問卷回饋出現錯誤訊息
用會計師帳號&gt;我的活動&gt;填寫問卷按送出後出現「EVENT NOT FOUND」的錯誤訊息
全聯會：P123350417</t>
  </si>
  <si>
    <t>Peter</t>
  </si>
  <si>
    <t>個人活動頁面排序無效.</t>
  </si>
  <si>
    <t xml:space="preserve">非本人報到, 狀態要為報到成功, 不退費, 不算學分, 並提供備註欄, 供記錄是某位人員報到 </t>
  </si>
  <si>
    <t>已緊急加上備註, 讓系統未來可以在資料庫中查出,至於後面其它功能, 是要在哪查詢, 有待討論</t>
  </si>
  <si>
    <t>講師(專教會學分類別為4條2)系統請直接提供
2023/9/20 課程與活動經發布且結束後, 自動把學分分配給該會計師, (4條1才適用)</t>
  </si>
  <si>
    <t>如何幫學員印出學分證明</t>
  </si>
  <si>
    <t>在課程結束後,於"統計分析",有報名的學員, 動作, 有一按鈕 "學生證明" 可使用</t>
  </si>
  <si>
    <r>
      <rPr>
        <rFont val="Arial"/>
        <color theme="1"/>
      </rPr>
      <t>印花稅以金額為Group, 相同金額且序號一致的請列入同一列, 並列出序號,張數,金額,小計, 並於最後出現總計-</t>
    </r>
    <r>
      <rPr>
        <rFont val="Arial"/>
        <color rgb="FFFF0000"/>
      </rPr>
      <t>目前列出的印花稅總表看不出來是否有按照順序，可否拿111年的舊資料來測試否則看不出來設定的邏輯</t>
    </r>
  </si>
  <si>
    <t>這部份系統已有處理</t>
  </si>
  <si>
    <t>印鑑卡,請直接歸入全聯會, 印鑑卡旁之日期為, 申請的異動(新增) 的異動日期, 而非目前顯示的最後異動時間</t>
  </si>
  <si>
    <r>
      <rPr>
        <rFont val="Arial"/>
        <color theme="1"/>
      </rPr>
      <t>報到時所顯示的印鑑卡應為最新的印鑑卡-</t>
    </r>
    <r>
      <rPr>
        <rFont val="Arial"/>
        <color rgb="FFFF0000"/>
      </rPr>
      <t>目前的方式還看不出來是否為最新的印鑑卡</t>
    </r>
  </si>
  <si>
    <t>活動與課程目前測試已上百列資訊, 增加在活動與課程以關鍵字查詢的功能</t>
  </si>
  <si>
    <t>各型態事務所家數, 請用主事務所來計算</t>
  </si>
  <si>
    <t>學分編輯的編號改為身分證</t>
  </si>
  <si>
    <t>功能已存在, 尚需把編號改為身分證</t>
  </si>
  <si>
    <t>洗防的學分在舊系統均以"洗錢"關鍵字顯示於課程名稱中, 請區分並實現於新系統中</t>
  </si>
  <si>
    <t>1)進修時數登記表列印, 請加上, 通知(搭配公文的檔案)</t>
  </si>
  <si>
    <t>學分證明列印-課程日期的"日"不見了，名稱最多只到15個字後面就不見了，頁面這麼大能否不要限制字數讓他自動換行?理事長章可以往上移一點?版面比較好看</t>
  </si>
  <si>
    <t>沒有列印證明的按鈕</t>
  </si>
  <si>
    <t>學分登記表裡面的"應補時數"欄位,若是已超過建議時數的部分是否用負數呈現 .
或是能在討論如何配合非專教會欄位調整計算方式.
報表模組-"年度學分數明細"也要配合更改調整</t>
  </si>
  <si>
    <t>陳志光反應</t>
  </si>
  <si>
    <t>在APP STORE搜尋會計師公會，出來的是全聯會舊的APP是否可協助移除?或是更改?</t>
  </si>
  <si>
    <t>這要請KPMG下架</t>
  </si>
  <si>
    <t>全聯會收文及一二三字第，收文碼應為8位數號碼。</t>
  </si>
  <si>
    <t>在學分登記表裡的table 呈現, 數字0 -&gt; 空白</t>
  </si>
  <si>
    <t>分所設立時, 在新增事務所裡, 多一個"分所"的勾勾, 勾選後, 則將下拉改為文字輸入</t>
  </si>
  <si>
    <t>改為在事務所若是主事務所, 多一個"新增分所"按鈕</t>
  </si>
  <si>
    <t>事務所變更, 若是型態調整, 不需要預查, 故, 多一勾勾為型態變更, 勾選後, 新事務所名稱為文字輸入</t>
  </si>
  <si>
    <t>異動紀錄裡找不到林志聰的資料</t>
  </si>
  <si>
    <t>三區與職業別再依會計師身分登錄時的基本資料頁面並沒有呈現</t>
  </si>
  <si>
    <t>進修時數報表的資料數量怪異，一個人應該只有一份資料</t>
  </si>
  <si>
    <t xml:space="preserve"> 課程裡的統計分析, 可以匯入學員的學分，應增加一個"長官按鈕"，在一段時間之內(系統設定)才能做增加時數的處理, 並於過期時, 把匯入與新增功能Disable掉</t>
  </si>
  <si>
    <t>承上題，系統應該設定兩個參數，一個是課程結束後多久就停止匯入功能，二參數設定長官按鈕按下多少久自動取消</t>
  </si>
  <si>
    <t>事務所管理, 增加一個查詢條件, "未註銷"</t>
  </si>
  <si>
    <t>是否可以使用核準來查詢, 因為核</t>
  </si>
  <si>
    <r>
      <rPr>
        <rFont val="Arial"/>
        <color theme="1"/>
      </rPr>
      <t xml:space="preserve">年度學分數明細報表,應補學分, 不可為負
</t>
    </r>
    <r>
      <rPr>
        <rFont val="Arial"/>
        <color rgb="FFFF0000"/>
      </rPr>
      <t>例如.年度學分數明細,112年黃煌達,蔡惠珍還是有負數.</t>
    </r>
  </si>
  <si>
    <t>進修時數查詢(優惠卷的排名)-裡面顯示學分累計應該只能計算4-1喔.</t>
  </si>
  <si>
    <t>學分登記表-舊資料倒入後,原有專教會課程中會有三類(學員4-1,講師4-2,委員4-9),現在看起來全部都放在4-1,例如111年度徐俊賢,應該是4-1有3小時,4-2有112小時;王錦文應該只有12/1是4-1學分,大部分都應該是4-9的學分;賴永吉的資料數字非常奇怪,他哪來那麼多學分?</t>
  </si>
  <si>
    <t>1)身份別有分4-1,4-2,4-9
會計師4-1,助理人員, 委員4-9</t>
  </si>
  <si>
    <t>事務所預查,及事務所登錄查詢 -查詢出來的資料,僅需顯示主所(分所部分不要顯示)</t>
  </si>
  <si>
    <t>聯合事務所的分事務所名稱有問題，如:OO聯合「會計師」事務所台北分所才正確</t>
  </si>
  <si>
    <t>承no78,"全聯會課程與學分匯入範例"-
1.講師學分數已有加倍,但匯入的項目錯誤,應該是"進修項目"是哪一項,講師學分一樣就歸在那個項目下(但4-8的講師學分無加倍);  
2.然後刪掉金額那個欄位.
3.這個學分匯入檔案僅限4條3-9.</t>
  </si>
  <si>
    <t>1. 金額欄位已非必填
2. 學分匯入檔案僅限4條3-9，excel過濾篩選刪除即可</t>
  </si>
  <si>
    <t>以前專教會課程(4-1)是匯入時,另外輸入課程名稱(限十個字),所以有時建立洗錢防制類課程時,是依講師提供之名稱建立課程資料(但沒有"洗錢"這個關鍵字),所以我在學分匯入時才會另外打出含有洗錢關鍵字之名稱,這樣系統才能抓到洗錢防制課程的資料. 但是現在舊資料倒入,皆是抓取原設定課程名稱,變成有些洗錢防制的課程就會變成無法判別.例如:109/12/7(台北)後APG時代趨勢與展望  ,我在輸入時改成"後洗錢防制時代趨勢",這樣在抓有無洗錢防制學分時才抓的到他. 所以像有這些課程的人他都會變成洗錢時數不足~~~~</t>
  </si>
  <si>
    <t>「助理人員清單」
1.開啟事務所的助理人員清單 只能看到第一頁、沒辦法看第2頁以後的助理人員
2.助理人員清單須新增-狀態列下拉式選單包含「目前在職、離職以及全部總申報」，選取後可以篩選或者匯出對應的excel資料。
3.助理人員清單, 跳頁異常</t>
  </si>
  <si>
    <t>第2項覆驗失敗，匯出excel資料錯誤，任職中清單資料包含離職人員，離職清單則無資料。
112.12.29覆驗失敗 依然相同問題</t>
  </si>
  <si>
    <t>1)已修正</t>
  </si>
  <si>
    <t>助理人員清單頁調整- 由清單點入某一人員功能"編輯"時, 於上面顯示其基本資訊與附件link, ui已提供</t>
  </si>
  <si>
    <t>基本資料並無一同編輯功能
03/06測試 一樣的狀態，基本資料無編輯功能</t>
  </si>
  <si>
    <t>「助理人員管理」
1.當收到紙本異動表-助理人員送件新增到職或離職時，如果系統內已經有建立該助理人員資料基本資料(不管是不是同一間事務所只要有建立的資料)，在我們的輸入狀態中，輸入身分證號後應自動填補其助理人員個資，如姓名、出身年月日、學歷科系等資格。
2.如果事務所自行送件時，如果是申報離職員工要回任復職人員時，申請資料將不用再次提供。</t>
  </si>
  <si>
    <t xml:space="preserve">「助理人員送件」
送審後怎麼知道自己文件甚麼時候申報成功呢?
送審完畢後就看不到當初申報的資料了嗎?
對方看到的文號應該為全聯會三字第11200096號才對。
</t>
  </si>
  <si>
    <t>「助理人員管理」
1.離職/到職/變更日期：統一修改為民國年。
2.出身年月日的民國年，鍵盤輸入80的選項會跑出69、80兩個，打69或出現58、69兩個選項。
3.性別固定為女生。
4.科系名稱麻煩更改成這些及以下順序：會計系、會統系、會計資訊系、企管管理系(或國際企業管理系)、財政稅務系、財務金融系、財務管理系、國際貿易系(或國際經營與貿易系)、經濟系、財政系、合作經濟系、管理科學系、銀行系、保險系、商學系、工商管理系、資訊管理系等科系。
5.科系如果選完後，在前面輸入非相關的選項刪除後面的名稱就可以不用付成績單了，例：會計系前面加英文系後將會計刪除後不用需附件了。
6.事務所離職人員不需要上傳附件，除非是非當年度才需另外上傳勞保的退保證明，下面中的附件身分證、畢業證書、成績單不需要，應改成勞保退保證明。
7.事務所到職人員，非當年度到職人員，除了固定的附件之外， 還須另上傳勞保加保證明或扣繳憑單。
8.勾選允許不上傳附件-附件（異動表）還是為必上傳選項。
9.申請資料「附件（異動表）」格式只能為pdf檔，不然傳其它檔案後，在收文那會看不到掃描檔。</t>
  </si>
  <si>
    <t>「事務所管理」
事務所查詢時，主事務所要擺在第一順位。</t>
  </si>
  <si>
    <r>
      <rPr>
        <rFont val="Arial"/>
        <color theme="1"/>
      </rPr>
      <t xml:space="preserve">持績進修登計表:應補時數,專教會時數可以優先補給非專會時數,  .
(1)以20為建議時數 , 7,(專)13 (非專), 例:目前時數 12(專)-0(非專), 可以把多的5個 時數 , 放給非專的時數 , 故此例 , 非專應補時數 為8-ok
</t>
    </r>
    <r>
      <rPr>
        <rFont val="Arial"/>
        <b/>
        <color rgb="FFFF0000"/>
      </rPr>
      <t>(2)以40為建議時數 ,14,(專)26 (非專), 例:目前時數 19(專)-0(非專), 可以把多的5個 時數 , 放給非專的時數 , 故此例 , 非專應補時數 為21
例如:陳世元 110年度非專教會的應補時數應該為0</t>
    </r>
  </si>
  <si>
    <t>助理人員: 新增送件輸入要加上一個"其它(勞保投保相關資料)"的附件</t>
  </si>
  <si>
    <t>助理人員:新增異動表限制為pdf</t>
  </si>
  <si>
    <t xml:space="preserve">助理人數統計表:加上月份以利統計 </t>
  </si>
  <si>
    <t>助理人員:送件完審核通後, 也請顯示該紀錄但無任何相關link與功能</t>
  </si>
  <si>
    <t>助理人員:離職人員不需要上傳附件</t>
  </si>
  <si>
    <t>助理人員:性別預設為女生。</t>
  </si>
  <si>
    <t>助理人員: 送件, 非當年度的文字敘述
※非今年度申報助理人員均需附件：勞保加退保證明或扣繳憑單。
且此時畢業證書、身分證、勞保那個附件會變成要必填(*)</t>
  </si>
  <si>
    <t>10/16 宜婷提供文字</t>
  </si>
  <si>
    <t>助理人員送件的按鈕不見了</t>
  </si>
  <si>
    <t>助理人員送件紀錄的公文號改為: 全聯會三字第xxxxxx號(8碼)</t>
  </si>
  <si>
    <t>學分:(課程匯入)確定不要
1. 金額欄位
2. 學分匯入檔案僅限4條3~9</t>
  </si>
  <si>
    <t>學分表匯入的4.3~9的認列學分請顯示
顯示原匯入輸入時的日期時間
(110)原匯入輸入時的名稱                因為(舊系統並無該課程名稱)</t>
  </si>
  <si>
    <t>收文/獎懲/簽呈創搞
讓 承辦人也能看到結案按鈕
條件：若公文process經過 總幹事/主委/副理事長/理事長任一人後再到承辦，就可以看到按鈕</t>
  </si>
  <si>
    <t>10/16前處理</t>
  </si>
  <si>
    <t>匯出報表:有一欄要給我們填入支出金額，現在只有出現一個PDF報表</t>
  </si>
  <si>
    <t>公文審核
主任委員不管點明細/編輯，預覽的簽收表都沒出現
但用會務或admin點這個公文的簽收表都看得到
測試收文號 11200683</t>
  </si>
  <si>
    <t>收文： 全聯會字第、全聯會一字第、全聯會二字第、全聯會三字第
簽呈：簽呈、創稿
發文：無特殊
共用原則：先收文日期(近到遠) 再收文字號(小到大)</t>
  </si>
  <si>
    <t>助理人員申報科系參數修改後，附件成績單都變成必上傳選項</t>
  </si>
  <si>
    <t>助理人員申報，科系那欄如果選完後，在前面輸入非相關的選項刪除後面的名稱就可以不用付成績單了，例：會計系前面加英文系後將會計刪除後不用需附件了。</t>
  </si>
  <si>
    <t>11200695、11200696、11200699 收文號, 查不到資料 9月27日收的公文存儲後都會消失。</t>
  </si>
  <si>
    <t>發文主旨:本會第12屆第13次評價暨鑑識會計委員會會議 按下取號僅取得發文日期, 並無取到號</t>
  </si>
  <si>
    <r>
      <rPr>
        <rFont val="Arial"/>
        <color theme="1"/>
      </rPr>
      <t xml:space="preserve">電子報裡面會員挑選名單中,已經廢止執業登記的會計師不要出現
</t>
    </r>
    <r>
      <rPr>
        <rFont val="Arial"/>
        <color rgb="FFFF0000"/>
      </rPr>
      <t>還是有廢止的出現,帥元甲,歐德堅,王玉章...等</t>
    </r>
  </si>
  <si>
    <t>應該是舊資料廢止日期小於職登日期
此三位狀態再測試機都是正常而非廢止</t>
  </si>
  <si>
    <t>張維夫 張欣瑜111年度,洗錢防制學分沒有抓到喔~</t>
  </si>
  <si>
    <t>無法進入報表模組下的「課程收入日結單」及「課程帳款明細」，會進入登入畫面，登入後一樣不能進入</t>
  </si>
  <si>
    <t>會員的異動紀錄, 按日期排序 反向排序</t>
  </si>
  <si>
    <t>"學分管理"-(學分總和跟建議學分)年度的排序最新的年度要在第一頁</t>
  </si>
  <si>
    <t>"學分登記表"-查詢111年度,但無任何資料,  則年度欄, 都需要顯示111年度。 
(例如施金英 112年執業的,但她選111年 表上就沒有顯示年度)</t>
  </si>
  <si>
    <t>事務所管理, 主所應排在第一列, 例如 :廣信益群</t>
  </si>
  <si>
    <t>事務所預查詢-舊資料沒有完全倒入,例如青山永續,只有事務所名稱,其他資料都沒有(舊申請資料無倒入新系統中)</t>
  </si>
  <si>
    <t>文字調整:(助理人員送件)UI最底下:"請於保存後，將異動表第二聯郵寄至全聯會備查"
改為:"請於保存後，將異動表第一、二聯郵寄至全聯會備查"</t>
  </si>
  <si>
    <t>"年度收據總表，如果遇到月結的，收據號碼也要寫進去(可能很多人是同一筆)
目前都只寫入年分
並且匯出的欄位多一個課程title"</t>
  </si>
  <si>
    <t>公文維護, 三個檔案只要有上傳一個就 算檢 核通過(可存檔)</t>
  </si>
  <si>
    <t>月結的事務所-有會計師，顯示不是月結?
月結時，應該都以總所的資料來抓
(月結設定, 均以主所為主其範圍包括所有底下的分所, 月結功能底下的結清功能也是一起結清)</t>
  </si>
  <si>
    <t>學分編輯裡面的課程日期,有些與學分登記表的日期對不起來,例如:111年童吉祥,6/27.7/11的課程在學分編輯那邊一個沒顯示日期,一個日期不對</t>
  </si>
  <si>
    <t>學分登記表裡面,有人的應補時數中還會出現負數,例如張清煌 111年的非專教會時數出現-2</t>
  </si>
  <si>
    <t>學分登記表有錯誤,例如:111年張清煌,2/16.6/29都是112年補回去的課程,前面應該是(112)</t>
  </si>
  <si>
    <t>進修時數登記表列印,勾選地址&amp;公文  通知,卻沒有出現公文</t>
  </si>
  <si>
    <t>報表 - 事務所會計師名冊
要改成吃主所，並且匯出下轄所有分所的內容
目前匯出也沒有內容</t>
  </si>
  <si>
    <t>會務人員登入-     會籍資料少北市會籍編號, 北市入會日期</t>
  </si>
  <si>
    <t>會員資料- 所匯入的住宅地址,應為戶籍地址, 且, 不要出現, 住宅地址的欄位</t>
  </si>
  <si>
    <t>報表 - IFAC
以112年為例，撈出來人數兩千三百多是有問題的
全聯會現在四千人上下</t>
  </si>
  <si>
    <t>1)目前請查112年全部, 系統有排程已有資料
2)請提供歷年季資料例如:111,110,109,108,107</t>
  </si>
  <si>
    <t>建立公文的時候(收文/發文)有全聯會一字第、二字三字等收文型態
但這個在查詢公文的篩選器沒有，導致沒辦法驗證</t>
  </si>
  <si>
    <r>
      <rPr>
        <rFont val="Arial"/>
        <color theme="1"/>
      </rPr>
      <t xml:space="preserve">報表-洗錢不足報表:1.選擇"全部"的報表中裡面,已達或未達,未正確判斷 2.選擇"未達"時,出現空白報表 3.選擇"已達"報表裡面,已達或未達,未正確判斷.
</t>
    </r>
    <r>
      <rPr>
        <rFont val="Arial"/>
        <b/>
        <color rgb="FFFF0000"/>
      </rPr>
      <t xml:space="preserve">**未達的標準裡面,要排除該年度首次執業的會計師
</t>
    </r>
    <r>
      <rPr>
        <rFont val="Arial"/>
        <color rgb="FFFF0000"/>
      </rPr>
      <t xml:space="preserve">**該年度已經廢止的會計師就不要再出現了,例如選擇111年度,若會計師廢止執業登記日期在111年度的就不要再出現了.
</t>
    </r>
    <r>
      <rPr>
        <rFont val="Arial"/>
        <color theme="1"/>
      </rPr>
      <t xml:space="preserve">早於該 年度的執 業登記被廢止, 不用出現; 但若&gt;查的年度其狀態為廢止, 則在廢止欄 出現其廢止日期 </t>
    </r>
  </si>
  <si>
    <r>
      <rPr>
        <rFont val="Arial"/>
        <color theme="1"/>
      </rPr>
      <t xml:space="preserve">報表-持續進修不足報表:應補時數還是有出現負數,例如111年選擇"未達"裡面的林克武
</t>
    </r>
    <r>
      <rPr>
        <rFont val="Arial"/>
        <color rgb="FFFF0000"/>
      </rPr>
      <t>**未達的標準裡面,要排除該年度首次執業的會計師
**該年度已經廢止的會計師就不要再出現了,例如選擇111年度,若會計師廢止執業登記日期在111年度的就不要再出現了</t>
    </r>
    <r>
      <rPr>
        <rFont val="Arial"/>
        <color theme="1"/>
      </rPr>
      <t xml:space="preserve">.
**同No74的問題,公發狀態跟廢止狀態的對應,還是沒有正確.
早於該 年度的執 業登記被廢止, 不用出現; 但若&gt;查的年度其狀態為廢止, 則在廢止欄 出現其廢止日期 </t>
    </r>
  </si>
  <si>
    <t>報表-空戶列表, 李厚康-存在於空戶列表, 經查, 無北市會編, 是否因為這樣才列表空戶</t>
  </si>
  <si>
    <t xml:space="preserve">報表-空戶列表, 多了一個非執業的條件, 請拿掉 </t>
  </si>
  <si>
    <t>蔡蜂霖-會員應為廢止其異動紀錄最後一日為 094/04/29</t>
  </si>
  <si>
    <t>因目前執登狀態為抓取會員異動記錄，並抓取最新執登狀態，然而目前會員異動記錄因舊系統有大量後續補齊的資料，導致時間順序問題，才會有應廢止者卻為正常
後需請全聯會提供已廢止會員名單再一併更新</t>
  </si>
  <si>
    <t>官心怡-會員應為"廢止"而非停職 ,其異動紀錄099/07/05</t>
  </si>
  <si>
    <t>年度學分數明細報表-排除現況為廢止</t>
  </si>
  <si>
    <t>劉燈發其身份為廢止,經查無出現在報表內
加上其它條件
廢止，撤銷，廢止（金管會） 都算是廢止</t>
  </si>
  <si>
    <t>助理人員申請-如果有會計師證書或記帳師證書，不用附件及其他。</t>
  </si>
  <si>
    <t>助理人員申請-勞保投保證明變成了必填選單，當年度至隔年3/1號(不含)以前都不需要</t>
  </si>
  <si>
    <t>「助理人員管理」(新增/修改)，統一為民國年。
修正成: (民國年)文字輸入, xxx年 xx月 xx日, 不需要使用下拉, 且按tab可以順利往下跳.
離職/到職/變更日期, 和 出生年月日 一致</t>
  </si>
  <si>
    <t xml:space="preserve">三區域職業別的會計師，如果是廢止/註銷，則執業登記的字第X號，應該要空白
李國豐-執業登記的字號應為空白, 目前出現1040273
</t>
  </si>
  <si>
    <t>執業會員異動以及事務所異動的文字，不要用收文號，文字改成文號</t>
  </si>
  <si>
    <t>助理的匯出範例，多彈一個視窗：起使用7-zip, winRAR等解壓縮軟體進行處理</t>
  </si>
  <si>
    <t xml:space="preserve">Alan </t>
  </si>
  <si>
    <t>助理增加頁面的按鈕"+"目前無功能, 且 請移至畫面下方, 附件:其他（勞保投保相關資料）
與
取消, 保存鈕, 請於保存後，將異動表第一、二聯郵寄至全聯會備查
之間且至中</t>
  </si>
  <si>
    <t>助理匯入, 上傳的excel裡的生日, 請改為民國年, 且, 範例內容請一併修正</t>
  </si>
  <si>
    <t>助理匯入,畢業證書文字調整, 改為"附件（畢業證書/會計師證書）"</t>
  </si>
  <si>
    <r>
      <rPr>
        <rFont val="Arial"/>
        <color theme="1"/>
      </rPr>
      <t>課程活動-</t>
    </r>
    <r>
      <rPr>
        <rFont val="Arial"/>
        <color rgb="FFFF0000"/>
      </rPr>
      <t>app頁面上</t>
    </r>
    <r>
      <rPr>
        <rFont val="Arial"/>
        <color theme="1"/>
      </rPr>
      <t xml:space="preserve">
再繳費的頁面多提醒，「請於30分鐘內完成繳費，逾期將取消報名」</t>
    </r>
  </si>
  <si>
    <r>
      <rPr>
        <rFont val="Arial"/>
        <color theme="1"/>
      </rPr>
      <t xml:space="preserve">個人活動頁面排序無效. </t>
    </r>
    <r>
      <rPr>
        <rFont val="Arial"/>
        <color rgb="FFFF0000"/>
      </rPr>
      <t>app頁面上</t>
    </r>
  </si>
  <si>
    <t>事務所預查詢-外層顯示只有事務所名稱,其他名稱核准日,核准截止日都沒有出現</t>
  </si>
  <si>
    <t>事務所預查詢-以申請人方文寶去查詢,會出現普萊跟中山普萊聯合兩個事務所,但是
"中山普萊聯合"的申請人應該是"黃協興",核准日期是109/12/18,全聯證字第109111號.</t>
  </si>
  <si>
    <t>"會員查詢&gt;匯出:部分位置須重新排列:三區域執業別別和各公會入會日期及會籍編號穿插</t>
  </si>
  <si>
    <t>will已提供excel程式範本處理</t>
  </si>
  <si>
    <t>"活動與課程管理"-"學分登記表"中選112年度蔡惠珍,可是卻顯示無列印資料
1)此按鈕加上"列印"兩字-&gt;學分登記表列印
2)增加一按鈕, 名為"學分登記表", 就在學分登記表列印旁, 其功能與學分登記表列印一致, 但條件僅有姓名, 身分證號, 事務所名稱, 及年度</t>
  </si>
  <si>
    <t>調整成, 多一個進階查詢</t>
  </si>
  <si>
    <t>學分登記表-查詢"青山永續","和泰聯合"查出後, 所查出的資料, 事務所名稱竟有空值與非該事務所的資料</t>
  </si>
  <si>
    <t>事務所助理人員清單-右下角10條/一頁、20條/一頁、50條/一頁，點了沒反應</t>
  </si>
  <si>
    <t>全聯會一、二字第採用紙本簽核，沒有電子公文簽核，流程上需要能結案</t>
  </si>
  <si>
    <t>可以的</t>
  </si>
  <si>
    <t>預查的功能, 目前麵包屑是錯的(兩個都是)</t>
  </si>
  <si>
    <t>黃協興有台中市公會日期, 卻沒有台中市會編</t>
  </si>
  <si>
    <t>發文, 文號1120007, 相對應的附件點後無內容</t>
  </si>
  <si>
    <t>請至正式機查詢</t>
  </si>
  <si>
    <t>收文, 舊文號已結案, 查無內容與附件資料</t>
  </si>
  <si>
    <t>邱薇伊, Admin, 憶婷(一,二字第)</t>
  </si>
  <si>
    <t xml:space="preserve">緯創德林聯合會計師事務所
1)預查目前應查出緯創德林聯合會計師事務所
</t>
  </si>
  <si>
    <t>緯創德林聯合會計師事務所
1)異動紀錄無資料</t>
  </si>
  <si>
    <t>沒有遷移舊的異動紀錄資料
所以DB這邊是空的</t>
  </si>
  <si>
    <t>預查-中山普萊應該要查出, 普萊應不出現(因為已廢止or註銷一年)
廢止一年後, 應查不到
廢止一年內, 要查得到</t>
  </si>
  <si>
    <t>預查登錄-緯創應查出緯創德林</t>
  </si>
  <si>
    <t xml:space="preserve">預查-請精簡, 所查出的事務所請精間, 會計師事務所這六字請省略
例: 偉業會計師事務所 請顯示 偉業, 
安永聯合會計師事務所 請顯示 安永聯合, </t>
  </si>
  <si>
    <t>預查-緯創卻查不到力創會計師事務所等....舊系統可以查到36筆
還有緯騰</t>
  </si>
  <si>
    <t>會員管理/事務所管理/助理人員清單-&gt;右下角的一頁幾筆, 調整會無作用
且, 麵包屑請調整為 會員管理/事務所管理/助理人員清單</t>
  </si>
  <si>
    <t>麵包屑清單並無跳整為 會員管理/事務所管理/助理人員清單
只看到首頁/助理人員管理</t>
  </si>
  <si>
    <t>[全聯會] 收據的欄位對其方式要一致，例如會員、備註、金額都是兩個字對齊方式要一樣
左右寬度要一樣，二三四五字左右都要一樣，留固定左右寬
並移除右下角的理事長與章
備註應該要在金額底下</t>
  </si>
  <si>
    <t xml:space="preserve">活動-7/24(高雄)出售股權相關稅務議題案例解析（含房地合一稅）屬舊資料
匯出--資料, 檔名正確, 但格式變為非excel檔案格式
委員的身份應要可以辨別; 訪客身份應要可以辨別例如:李文心(助理人員)(未出現)
</t>
  </si>
  <si>
    <t>委員在報名的時候，
 可以選擇"一般(預設)"或"委員"會計師的身分報名
一般會計師比照收費金額且學分 (4條 1款)
若以委員的身分報名委員免費且列入在四條9款的學分, 且
報表:1)課程收入日結單也要將其列入
2)課程帳款明細也要將其列入
委員要判斷啟用及任職期間</t>
  </si>
  <si>
    <t>劉燈發會員於編輯時執業登記為"廢止(金管會)", 在查詢清單頁面顯示為正常, 狀態應為廢止</t>
  </si>
  <si>
    <t>"事務所預查"查出的事務所名稱,麻煩依第一個字相同的排序</t>
  </si>
  <si>
    <t>處理中</t>
  </si>
  <si>
    <t>公會輪值/會議其所匯入的EXCEL文件多一個學分數欄位在報到頁籤裡, 專供其它四公會匯入使用,系統查到在報到頁籤裡的學分數時, 則學分的計算方式以報到頁籤的學分數為主</t>
  </si>
  <si>
    <t>活動報到之後台頁面, 未來需有一個按鈕匯出給全聯會計算學分之格式使用。</t>
  </si>
  <si>
    <t>簽/創 要可以上傳其他附件，數量不限，單檔10MB
簽/創 獨立一個模組</t>
  </si>
  <si>
    <t>標籤列印要增加排除功能，方便挑選名單</t>
  </si>
  <si>
    <t>收文管理的排序
目前我們的日期是由近到遠 文號是少到多
能不能改成日期一樣近到遠 但文號變成多到少呢?</t>
  </si>
  <si>
    <t>#220處理了</t>
  </si>
  <si>
    <t>學員學分編輯查詢-"查詢日期"跟"課程名稱"合併為同一頁的篩選器(變成二擇一,非必填),原先底下學分不足跟洗錢防制不足的篩選條件要保留</t>
  </si>
  <si>
    <t>學員學分編輯查詢-第二層的地方要增加"多筆編輯功能",以及編輯修正後要返回當下的頁面,而非回到第一頁</t>
  </si>
  <si>
    <r>
      <rPr>
        <rFont val="Arial"/>
        <b/>
        <color theme="1"/>
      </rPr>
      <t>收文管理</t>
    </r>
    <r>
      <rPr>
        <rFont val="Arial"/>
        <color theme="1"/>
      </rPr>
      <t xml:space="preserve">-公文擬辦字數限制，目前擬辦限制字數為147個字，字數太少，擬辦字元需修改為無限制狀態(結案也相同狀態)。
</t>
    </r>
    <r>
      <rPr>
        <rFont val="Arial"/>
        <b/>
        <color theme="1"/>
      </rPr>
      <t>發文管理</t>
    </r>
    <r>
      <rPr>
        <rFont val="Arial"/>
        <color theme="1"/>
      </rPr>
      <t>-也遇到相同狀況，簽核意見限制字數僅只有42字元，字元上限也須一同修改。</t>
    </r>
  </si>
  <si>
    <t>收文管理及發文管理-以收為管理為例，收文來文主旨，主旨從20字元部分顯示，修改為完整揭露所有主旨內容。(以收文11200985為例)
20字以下維持原字級
21~30字以下小一級
31~40字再小一級
最小到字級6</t>
  </si>
  <si>
    <t>Will同意開放</t>
  </si>
  <si>
    <t>收文管理-收文新增，收文主旨前需新增建立□辦後彙毀□三年保存□五年保存□十年保存□永久保存選項等，五個選項勾取。收文管理也需新增篩選保存年限選項</t>
  </si>
  <si>
    <t>學員學分編輯查詢-第二層右下角,只能選擇20條/頁,其他的都不能選(50條/頁,100條/頁)</t>
  </si>
  <si>
    <t>謝芋晴</t>
  </si>
  <si>
    <r>
      <rPr>
        <rFont val="Arial"/>
        <color theme="1"/>
      </rPr>
      <t>助理人員送件
1.附件（異動表）選項移除
2.最下方《請於保存後，將異動表第一、第二聯郵寄至全聯會備查》 提醒字眼更改為《請於保存後列印，將異動表第一、第二聯郵寄至全聯會備查》
3</t>
    </r>
    <r>
      <rPr>
        <rFont val="Arial"/>
        <color theme="1"/>
        <sz val="11.0"/>
      </rPr>
      <t>.按下最下方保存後，跳到新頁面顯示列印</t>
    </r>
    <r>
      <rPr>
        <rFont val="Arial"/>
        <b/>
        <color theme="1"/>
        <sz val="11.0"/>
      </rPr>
      <t>內容如右</t>
    </r>
    <r>
      <rPr>
        <rFont val="Arial"/>
        <color theme="1"/>
        <sz val="11.0"/>
      </rPr>
      <t>：</t>
    </r>
    <r>
      <rPr>
        <rFont val="Arial"/>
        <color theme="1"/>
      </rPr>
      <t xml:space="preserve">
4.按下預覽列印選項後，自動帶入承辦人員登打所有資料至異動表
</t>
    </r>
  </si>
  <si>
    <r>
      <rPr>
        <rFont val="Arial"/>
        <color theme="1"/>
      </rPr>
      <t>會計師自行申報助理人員時，多了</t>
    </r>
    <r>
      <rPr>
        <rFont val="Arial"/>
        <b/>
        <color rgb="FFFF0000"/>
        <sz val="14.0"/>
      </rPr>
      <t>允許不上傳附件</t>
    </r>
    <r>
      <rPr>
        <rFont val="Arial"/>
        <color theme="1"/>
      </rPr>
      <t>權限。
請用權限控制, 使用特殊才能看到允許不上傳附件的勾勾</t>
    </r>
  </si>
  <si>
    <t>會員管理,課程活動報名,助理人員管理的麵包屑都不一致</t>
  </si>
  <si>
    <r>
      <rPr>
        <rFont val="Arial"/>
        <color theme="1"/>
      </rPr>
      <t>助理人員清單-助理人員資料</t>
    </r>
    <r>
      <rPr>
        <rFont val="Arial"/>
        <color rgb="FFFF0000"/>
        <sz val="12.0"/>
      </rPr>
      <t>植入嚴重錯誤</t>
    </r>
    <r>
      <rPr>
        <rFont val="Arial"/>
        <color theme="1"/>
      </rPr>
      <t xml:space="preserve"> 以陳昭誠為例
任職</t>
    </r>
    <r>
      <rPr>
        <rFont val="Arial"/>
        <color rgb="FFFF0000"/>
        <sz val="12.0"/>
      </rPr>
      <t>事務所錯誤</t>
    </r>
    <r>
      <rPr>
        <rFont val="Arial"/>
        <color theme="1"/>
        <sz val="12.0"/>
      </rPr>
      <t>，</t>
    </r>
    <r>
      <rPr>
        <rFont val="Arial"/>
        <color rgb="FFFF0000"/>
        <sz val="12.0"/>
      </rPr>
      <t xml:space="preserve">事務所無統編
</t>
    </r>
    <r>
      <rPr>
        <rFont val="Arial"/>
        <color rgb="FFFF0000"/>
        <sz val="11.0"/>
      </rPr>
      <t>已離職</t>
    </r>
    <r>
      <rPr>
        <rFont val="Arial"/>
        <color theme="1"/>
      </rPr>
      <t>的事務所任職狀態還是</t>
    </r>
    <r>
      <rPr>
        <rFont val="Arial"/>
        <color rgb="FFFF0000"/>
        <sz val="12.0"/>
      </rPr>
      <t>任職中</t>
    </r>
    <r>
      <rPr>
        <rFont val="Arial"/>
        <color theme="1"/>
      </rPr>
      <t xml:space="preserve">
到離職日期因為</t>
    </r>
    <r>
      <rPr>
        <rFont val="Arial"/>
        <color rgb="FFFF0000"/>
        <sz val="11.0"/>
      </rPr>
      <t>民國年</t>
    </r>
    <r>
      <rPr>
        <rFont val="Arial"/>
        <color theme="1"/>
      </rPr>
      <t>而不是西元年，順序應該為新到舊106→105，而不是舊到新
核備文號及收文文號都</t>
    </r>
    <r>
      <rPr>
        <rFont val="Arial"/>
        <color rgb="FFFF0000"/>
        <sz val="12.0"/>
      </rPr>
      <t>沒有帶入到對應的資料</t>
    </r>
    <r>
      <rPr>
        <rFont val="Arial"/>
        <color theme="1"/>
      </rPr>
      <t xml:space="preserve">，新系統是空白的
右邊圖為例
</t>
    </r>
  </si>
  <si>
    <t>Alan, Tim</t>
  </si>
  <si>
    <t>報表模組最後一個-"事務所名冊"-點出來的是"事務所管理"的頁面</t>
  </si>
  <si>
    <t>助理人員清單-中山普萊為例
點選任職中的助理人員清單
資料庫跑出來的名單中有內涵已離職的人員
助理人員所有的路徑，點出來的頁面名稱都有出入</t>
  </si>
  <si>
    <t>並無修正
03.06再次複驗，依然有問題，在清單種點選離職人員，並無任何名單。</t>
  </si>
  <si>
    <t>公文排序(收發文)
請依照同字第再按文號(由多到少)
(*若有未取號之發文排最上面，修改日期越新排越上面)
11/10   全聯會字第 100
11/9    全聯會字第 99
11/10    全聯會一字第 100
11/9    全聯會一字第 99
11/10    全聯會二字第 100
11/9    全聯會二字第 99</t>
  </si>
  <si>
    <t>全聯會一二字第並無接續，三字第收文看不到資料。</t>
  </si>
  <si>
    <t>PeterT</t>
  </si>
  <si>
    <t>會員資料管理僅勾特殊，要只出現印鑑卡，避免可以看到會計師個資</t>
  </si>
  <si>
    <t>請在"會員資料管理"的權限-勾上查詢和特殊 就可以了</t>
  </si>
  <si>
    <t>全聯會會計師陳富強(臺省4725)，執登文號被截掉，請合併</t>
  </si>
  <si>
    <r>
      <rPr>
        <rFont val="Arial"/>
        <color theme="1"/>
      </rPr>
      <t>收文要指派給總收文帳號時，需要從新指派給自己兩次擬辦單中承辦人姓名才不會是空白。
Samuel 補充: 總收發指派給總收發時(宜婷本人是總收發-&gt;指派給總收發</t>
    </r>
    <r>
      <rPr>
        <rFont val="Arial"/>
        <b/>
        <color theme="1"/>
      </rPr>
      <t>時)才會出現這個問題; 總收發指派給其它人不會出現這個問題</t>
    </r>
  </si>
  <si>
    <t>"事務所預查詢-""源洺""; 目前線上已經有人登錄預查到
【名稱預查核准登錄(編輯)】
申請資料
申請人姓名: 方偉全
申請人ID: A123784297
地址: 116
聯絡電話:
原事務所
事務所統編:
核淮事務所名稱
事務所名稱: 源洛
核准登錄公文
核准日期: 112
申請項目: 事務所設立
會計師證書字號: 金管會證字第6162號
台北市文山區車前路11之7號2樓
0920261123
月 13 日
會計師事務所
文號: 全聯會證字第112081號
修改
所以應該要可以查出這一筆"</t>
  </si>
  <si>
    <t>Brian,Tim</t>
  </si>
  <si>
    <t>""源豐"",""源樂"",在"事務所預查"查的到,但在"事務所登錄預查"查不到</t>
  </si>
  <si>
    <t>麻煩協助確認事務所名稱預查資料倒入狀態,例如11/29核准的"厚誠""睿觀",在"事務所預查"已查的到,但同一天核准的"叡上"就查不到.</t>
  </si>
  <si>
    <t>"事務所登錄預查"從"編輯"點進去,裡面的申請人資料都沒有看到(原先測試機有,但現在變正式機測試機都沒有)</t>
  </si>
  <si>
    <t>助理人員清單-需要新增修改助理人員基本資料選項</t>
  </si>
  <si>
    <t>非執業會員資料新增-一般市話電話選項(為非必填)</t>
  </si>
  <si>
    <t>發文管理-尚未取號公文送至主管簽核狀態，尚未退還給承辦人時，承辦人仍可透過編輯修改簽核意見。</t>
  </si>
  <si>
    <t>與#430重疊</t>
  </si>
  <si>
    <t>活動與課程管理-裡面的"匯入"功能,講師的學分不用跟資料庫的講師名單做檢核,直接給予範例格式中裡面"講師學分"欄位填入的學分.</t>
  </si>
  <si>
    <t>發文擬辦單當中，審核欄位名稱修改為「審核/副理事長」。</t>
  </si>
  <si>
    <t>助理人員管理-送件時會計師資格、兩年以上工作服務證書、記帳士證書這三個欄位勾選後，與審核畫面顯示相反</t>
  </si>
  <si>
    <t>助理人員管理-送件時生日填寫為民國年，審核畫面顯示西元年</t>
  </si>
  <si>
    <t>助理人員管理-審核頁面在備註欄位填寫原因，退回後承辦人看不到</t>
  </si>
  <si>
    <t>助理人員管理-審核頁面目前只顯示個人資料，應再加上到離職日期欄位，否則無法審核</t>
  </si>
  <si>
    <t>全聯會助理送件之後送件的到職日跟生日
跟審核的到職日跟生日日期結果不同</t>
  </si>
  <si>
    <t>電子報信件寄送群組功能(可維護清單，建立快速群組，排除重複)</t>
  </si>
  <si>
    <t>助理人員的名字與身分證/居留證修正功能要開放給會務人員</t>
  </si>
  <si>
    <t>合併228</t>
  </si>
  <si>
    <t>表示有討論到
系列課程，會計師選擇後，可以有勾選清單決定要報哪幾堂
但目前沒看到
Samuel Update: 2024/1/8 系列課程列出後, 以勾選方式讓使用者勾選, checkbox</t>
  </si>
  <si>
    <t>待修正</t>
  </si>
  <si>
    <t>待Will與Samuel確認
Samuel: 尚需與香如確認需求後處理</t>
  </si>
  <si>
    <t>活動與課程管理-裡面的"匯入"功能,檔案匯入後出來的檢視畫面(目前是跟學分編輯畫面一樣),希望可以在這畫面直接進行編輯.</t>
  </si>
  <si>
    <t>#與263重複</t>
  </si>
  <si>
    <t>活動與課程管理-裡面的"匯入"功能,匯入後的檔案呈現順序,要與匯入之檔案順序一樣.</t>
  </si>
  <si>
    <t>助理人員送件：附件（異動表）有上傳檔案限制，需要改成３０Ｍ</t>
  </si>
  <si>
    <t>僅能上傳10M</t>
  </si>
  <si>
    <t>報表模組-名稱未重複匯出報表-目前匯出都是空白的喔</t>
  </si>
  <si>
    <t>助理人員清單-個人搜尋年資狀態時，核備文號的地方應顯示全聯會三字第(文號)號 
例：眾智聯合 詹宜臻</t>
  </si>
  <si>
    <t>在"事務所預查登錄"新增的事務所名稱,在"事務所預查"裡查不到,例如:華一,華欣,嘉禾,甲鼎,旭峰,睦誠...</t>
  </si>
  <si>
    <t>助理人員申報-二審完成拿到文號後，在收文系統中三字第或助理人員選項找不到文號資訊
全聯會三字第11200790至11200807號都無資料</t>
  </si>
  <si>
    <t>至113.01.08三字第公文依然找不到。</t>
  </si>
  <si>
    <t>使用宜婷權限, 真的查無
1/17 再正式區收文已查得到</t>
  </si>
  <si>
    <t>助理人員三字第透過samuel查詢消失的公文11200790~11200807
但文號承辦人都是admin這個帳號
收文的承辦人應該為一審的承辦人員帳號才對
補充:此為助理人員二審完成後, 系統自動產生的公文; 應調整承辦為黃宜婷或謝芋晴</t>
  </si>
  <si>
    <t>至113.01.08三字第公文依然找不到，承辦人也看不到是否有調整。</t>
  </si>
  <si>
    <t>1/17 已查詢得到也調整了</t>
  </si>
  <si>
    <t>助理人員送件-離職人員送件,二審審核完成後,助理人員清單內的資料卻將離職日期直接新增一筆至到職欄位，且原先該帶入的離職欄位還是空白
以王雅慧為例：誠品聯合補申報離職日期為110年10月1日，旦系統卻新增一筆到職日期。
隔天匯聚會計師事務所申報離職日期為112年12月18日，則在助理人員送件欄位無法申報離職
Samuel補充:
1)申請離職 , 系統新增一筆到職, 應無此筆資料(目前系統會多一筆)
2)系統應找尋最後一筆尚在職的事務所(事務所統編+身分證), 填入本次的離職資訊, 並將其狀態 改為離職
3)系統於二審後, 僅需按照所申請的 事務所統編+身分證 當條件去調整該助理的紀錄與狀態</t>
  </si>
  <si>
    <t>助理人員送件申報時,允許同時報到職與離職的狀態
例:同一份異動表上王曉明112年12月2號到職與112年12月30離職可同時申報
Samuel補充:
1)同一份送同樣的人員一兩次, 一為離職, 另一為到職 系統應視為正常情形</t>
  </si>
  <si>
    <t>收文希望可以依照所選擇的收文日期決定取的文號
而非建立日期</t>
  </si>
  <si>
    <t>助理人員申報-助理人員申報過程途中點選保存後，接下來後續新增人員，只要點選到到職或離職選項就會變成空白頁面。</t>
  </si>
  <si>
    <t>助理人員清單-一個身分證能查出兩筆資料，應該要合併成一個
Samuel:助理人清單, 在第一層不顯示事務所名稱 , 這樣就不會出現兩筆以上</t>
  </si>
  <si>
    <t>助理人員清單中，慧這個字在系統內部顯示為ヨ ，中間的筆劃沒有凸出</t>
  </si>
  <si>
    <t>難字另案處理</t>
  </si>
  <si>
    <t>助理人員清單中-有些人查不到，一定要去事務所清單中才查得到</t>
  </si>
  <si>
    <t>請列出案例</t>
  </si>
  <si>
    <t>助理人員匯入-匯入之後順序會亂掉，跟excel裡的順序不一樣</t>
  </si>
  <si>
    <t>課程與內容的所有麵包削要正確</t>
  </si>
  <si>
    <r>
      <rPr>
        <rFont val="Arial"/>
        <color theme="1"/>
      </rPr>
      <t>助理人員簽完後, 所產生的公文主旨, 要有正確的到職 離職 人數 , 
例: 
申報陳x明等11位到職與李X明等11位離職，本件經查無重複者．
若各一位, 去除等, 申報陳x明</t>
    </r>
    <r>
      <rPr>
        <rFont val="Arial"/>
        <strike/>
        <color theme="1"/>
      </rPr>
      <t>等</t>
    </r>
    <r>
      <rPr>
        <rFont val="Arial"/>
        <color theme="1"/>
      </rPr>
      <t>1位到職與李X明</t>
    </r>
    <r>
      <rPr>
        <rFont val="Arial"/>
        <strike/>
        <color theme="1"/>
      </rPr>
      <t>等</t>
    </r>
    <r>
      <rPr>
        <rFont val="Arial"/>
        <color theme="1"/>
      </rPr>
      <t>1位離職，本件經查無重複者．
若只有一位, 則只會有一種狀態, 看是離職還是到職. 例:申報陳x明等1位到職，本件經查無重複者．</t>
    </r>
  </si>
  <si>
    <t>收據號碼需要連號</t>
  </si>
  <si>
    <t>年度收據明細表-增加 付款方式, 信用卡要卡號後五碼</t>
  </si>
  <si>
    <t>活動與課程管理-裡面的"匯入"功能,匯入的課程條件判斷課程是否重複,除了原先判斷條件"活動標題""承辦單位",再多增加"活動日期"</t>
  </si>
  <si>
    <t>活動與課程管理-裡面的"匯入"功能,檔案匯入後出來的檢視畫面(目前是跟學分編輯畫面一樣,但無法編輯),希望可以在這裡開放多筆編輯.但多筆編輯完要保持再原匯入頁面.</t>
  </si>
  <si>
    <t>希望可以加一個功能鍵(可以一次填補前年度不夠的學分)</t>
  </si>
  <si>
    <t>助理人員管理-按下編輯更改完畢後按保存沒有反應</t>
  </si>
  <si>
    <t>助理人員清單-希望能把『民國』這兩個字刪除，必較好對資料</t>
  </si>
  <si>
    <t>簽呈流程表中，跟收文的簽核點選流程不一樣，要簽至理事長時，副秘書長權限無法點選給理事長。</t>
  </si>
  <si>
    <t>1/17說正常使用</t>
  </si>
  <si>
    <r>
      <rPr>
        <rFont val="Arial"/>
        <color theme="1"/>
      </rPr>
      <t>助理人員清單中/任職狀態預設麻煩從</t>
    </r>
    <r>
      <rPr>
        <rFont val="Arial"/>
        <b/>
        <color theme="1"/>
      </rPr>
      <t>任職中</t>
    </r>
    <r>
      <rPr>
        <rFont val="Arial"/>
        <color theme="1"/>
      </rPr>
      <t>改為</t>
    </r>
    <r>
      <rPr>
        <rFont val="Arial"/>
        <b/>
        <color theme="1"/>
      </rPr>
      <t>全部。</t>
    </r>
  </si>
  <si>
    <t>委員在報名課程繳費時就要能選擇委員或一般，現階段是在管理者查看時才能看到選項</t>
  </si>
  <si>
    <t>1/22 經排查發現程式部分正常，沒有出現委員報名可能是因為該委員任職起訖時間已過。</t>
  </si>
  <si>
    <r>
      <rPr>
        <rFont val="Arial"/>
        <color theme="1"/>
      </rPr>
      <t>收文管理中，來文主旨打</t>
    </r>
    <r>
      <rPr>
        <rFont val="Arial"/>
        <b/>
        <color theme="1"/>
        <sz val="12.0"/>
      </rPr>
      <t>勞動部</t>
    </r>
    <r>
      <rPr>
        <rFont val="Arial"/>
        <color theme="1"/>
      </rPr>
      <t>關鍵字查詢，出來得收文並不會照著年度或文號排序，呈現亂跳號的狀態。</t>
    </r>
  </si>
  <si>
    <t>收文管理中，公文結案完成後，結案完沒有自動執行查詢後的頁面，都另外需要重新搜尋結案公文一次。</t>
  </si>
  <si>
    <t>助理人員模組要有上傳pdf的功能(pdf/zip)，如果搜尋到有對應的三字第文號，就把這個檔案合併在現存的pdf後，讓公文可以預覽</t>
  </si>
  <si>
    <t>聯合發文會出現請輸入Type導致無法發文</t>
  </si>
  <si>
    <t>助理人員送件-二審副祕那關還沒審核 文號就已經產生了 應該是要副祕審核通過才能出現文號</t>
  </si>
  <si>
    <r>
      <rPr>
        <rFont val="Arial"/>
        <color theme="1"/>
      </rPr>
      <t xml:space="preserve">報表模組-年度學分數明細-出來的報表中有的人會出現兩筆資料,只要呈現最新狀態那筆即可(例如112年趙樹光,陳錫祥,曾裕,陳聖芬)
原因應是變更公開發行狀態關係，只要最新的就好
</t>
    </r>
    <r>
      <rPr>
        <rFont val="Arial"/>
        <b/>
        <color rgb="FFFF0000"/>
        <sz val="11.0"/>
      </rPr>
      <t>**2/7檢視發現只呈現一筆資料了,但出現的是變更前的,而非呈現最新狀態的(例如,趙樹光應該出現非公發狀態的標準(112/4/14撤銷公發),建議時數應該是專教7  非專教13  洗錢3 )</t>
    </r>
  </si>
  <si>
    <t>1. 事務所管理&gt;事務所異動&gt;名稱變更:點選儲存後連異動都不能異動
2. 會員管理&gt;會員資料管理&gt;新增   會計師登打完成後，無法儲存。
3. 會員管理&gt;會員資料管理&gt;搜尋會計師&gt;會員異動&gt; 任職異動  徐廷榕會計師無法廢止宏霖加入嘉美聯合，無法儲存，請注意退出的事務所不一定要填</t>
  </si>
  <si>
    <t>預查&gt;「登錄預查」的資料，還在核准期限內的事務所目前只有名稱的請更新資料庫加上"會計師事務所"
另外預查&gt;「事務所預查」，建立搜尋索引時，不要出現會計師事務所的連續六個字的搜尋</t>
  </si>
  <si>
    <t>已Update，後續請手動加</t>
  </si>
  <si>
    <t>1.如有分事務所名稱的異動不是總所異動全部都能異動???需要一間一間異動想要調整</t>
  </si>
  <si>
    <t>併293</t>
  </si>
  <si>
    <r>
      <rPr>
        <rFont val="Arial"/>
        <color theme="1"/>
      </rPr>
      <t xml:space="preserve">請多一個檢核情境，若原本為授權用戶上課
若身分升級為會計師時，執登日期往回推一年的課程學分需要自動指派給此會計師
功能未完成先用資料庫協助
</t>
    </r>
    <r>
      <rPr>
        <rFont val="Arial"/>
        <color rgb="FFFF0000"/>
      </rPr>
      <t>20230217需求訪談會議:
*助理轉換成會計師後,會務人員可以查詢到該會計師於助理時期的學分資料,並進行編輯
*會計師本身於學分清單功能,不能查詢助理時期的學分資料</t>
    </r>
    <r>
      <rPr>
        <rFont val="Arial"/>
        <color theme="1"/>
      </rPr>
      <t xml:space="preserve">
</t>
    </r>
  </si>
  <si>
    <t>報表&gt;金管會業務季報統計
只要撈出全聯會一字第的結果就好了，現在還有多撈到全聯會字第</t>
  </si>
  <si>
    <t>需要公文的匯出Excel功能(需要欄位再議)</t>
  </si>
  <si>
    <t>請問助理人員清單&gt;編輯，權限要開什麼</t>
  </si>
  <si>
    <t>助理人員審核的維護</t>
  </si>
  <si>
    <t>全聯會三字第公文的承辦人應為按下一審的會務人員</t>
  </si>
  <si>
    <t>預查申請要能註記取消</t>
  </si>
  <si>
    <t>已經在預查有中山聯合(從中山普萊聯合變更的)，但在事務所管理&gt;事務所異動&gt;更名，沒有下拉選單可以選擇
事務所名稱預查登錄&gt;編輯,裡面舊資料倒入部分,若是"申請項目"是選"事務所變更"的"原事務所名稱"那欄沒有資料,例如申請人林寬政,原事務所名稱應該要是"林寬政聯合".
備註:1/22會議上調整的中山普萊聯合也是一樣狀況,倒入資料時原事務所名稱這個欄位沒有資料.</t>
  </si>
  <si>
    <t xml:space="preserve">
回覆, 在正式機的預查輸入林寬政, 可以在清單上找到"林寬政聯合"</t>
  </si>
  <si>
    <t>目前的總帳報表或是明細帳報表無法看到抵用券的使用情形，希望報表能夠整合或是單出一張抵用券對課程的報表</t>
  </si>
  <si>
    <t>事務所名稱預查登錄&gt;編輯,裡面舊資料倒入部分,若是"申請項目"是選"事務所變更"的"原事務所名稱"那欄沒有資料,例如申請人林寬政,原事務所名稱應該要是"林寬政聯合".
備註:1/22會議上調整的中山普萊聯合也是一樣狀況,倒入資料時原事務所名稱這個欄位沒有資料.</t>
  </si>
  <si>
    <t>#併285</t>
  </si>
  <si>
    <t>課程活動報名管理＞活動與課程的排序，近到遠跟遠到近的排序應以活動日期為準</t>
  </si>
  <si>
    <t>課程匯出委員的身份應要可以辨別; 訪客身份應要可以辨別例如:李文心(助理人員)(未出現)</t>
  </si>
  <si>
    <t>報表模組-名稱未重複匯出報表-目前已能匯出資料,但選112年度的報表裡面出現的資料是"核准日"111年7月1日~112年6月,正確應該是要抓"核准日"是112年度整年的資料,申請人ID欄位資料沒有出現</t>
  </si>
  <si>
    <t>助理人員清單的頁面，篩選器失效(事務所、助理名字身分證)，清單頁面點選頁碼無功能。</t>
  </si>
  <si>
    <t>Dennis</t>
  </si>
  <si>
    <t>Dennis上版</t>
  </si>
  <si>
    <r>
      <rPr>
        <rFont val="Arial"/>
        <color rgb="FF000000"/>
      </rPr>
      <t>9/11 Dennis</t>
    </r>
  </si>
  <si>
    <t>新增會計師與授權用戶，目前都有檢核身分證號的規則，須因應居留證號或護照(外籍人士工作需要)做調整</t>
  </si>
  <si>
    <t>Jeff</t>
  </si>
  <si>
    <t>主所更名的時候，需要有更方便的介面可以一口氣連分事務所名稱一起更動</t>
  </si>
  <si>
    <t>會計師帳號&gt;我的活動&gt;IFRS永續揭露準則S1簡介(台中)
點選活動收據的下載，結果會出現錯誤的0B空檔
全聯會：P123350417</t>
  </si>
  <si>
    <t>2/15 經排查發現是因為該使用者報名活動繳費時是月結因此沒有產生收據，若用信用卡或是現金繳款就會有
要確認是不是沒收據的話我們就把收據過濾掉</t>
  </si>
  <si>
    <t>1. 如果做事務所名稱變更完成後，名稱會變成"變更前,變更後"，只需要留變更前就好
2. 做統編變更名稱也會變成自己名稱,自己名稱</t>
  </si>
  <si>
    <t>訪客報名會出現"do not have permission"</t>
  </si>
  <si>
    <t>查登錄&gt;建立事務所&gt;建立會計師到此事務所
再查詢頁面會沒有事務所名稱但明細有(member.account_firm_id為null)</t>
  </si>
  <si>
    <t>"事務所登錄預查"--查詢"佳誠"時,同一申請人資料出現兩筆,"友誠""承安""欣誠"也都出現兩筆資料.(申請人跟核准日期都一模一樣的)</t>
  </si>
  <si>
    <t>經討論為舊資料，且不影響邏輯，不處理</t>
  </si>
  <si>
    <t>"事務所預查"--同一個名稱可以只出現一筆就好嗎?(不管曾經被申請過幾次,在這個地方只要現在有的事務所名稱,只需要出現一筆就好)
在"事務所登錄預查"那邊才需要呈現所有的申請紀錄.</t>
  </si>
  <si>
    <t>助理經歷的事務所名稱、事務所統編兩個欄位，應該要寫死當時建立檔案時的事務所與統編的文字資訊
且可以再編輯時變更這兩個欄位的文字
但所屬的事務所id規則仍然要與現行相同</t>
  </si>
  <si>
    <t>助理人員-送件日期的地方2月沒有29號</t>
  </si>
  <si>
    <t>新執業的會計師資料KEY IN完成，重新查詢無法呈現事務所名稱</t>
  </si>
  <si>
    <t>會計師任職事務所異動:本來無事務所狀態，後來加入XX聯合會計師事務所，資料填入後，儲存後沒反應。
會計師的任職異動應該包含：
1. 有原事務所，異動至新事務所
2. 有原事務所，異動為無事務所
3. 無原事務所，異動至新事務所
4. 內部異動, 同1的方式但不會有退出跟加入的公文(僅需要身分證字號旁的兩個欄位)
目前只有1會通過，2,3,4會被檢核擋下，應放寬</t>
  </si>
  <si>
    <t>統編變更後，會計師事務所名稱有問題，且會員資料管理之會計師明細並無連動(113/02/06過年前LINE提到的)</t>
  </si>
  <si>
    <t>資料移轉的會計師戶籍地址(戶籍電話,事務所傳真,經歷)為空白(113/02/06過年前LINE提到的)
資料移轉有以下問題
1. 會計師戶籍地(戶籍電話,事務所傳真,經歷)均為空
2. 會計師異動軌跡未顯示
3. 無事務所異動紀錄</t>
  </si>
  <si>
    <t>查無會計師異動資料軌跡內之異動內容(113/02/06過年前LINE提到的)</t>
  </si>
  <si>
    <t>併#305</t>
  </si>
  <si>
    <t>查無事務所異動紀錄</t>
  </si>
  <si>
    <t>會計師做異動，事務所名稱會變得很怪(113/02/06過年前LINE提到的)</t>
  </si>
  <si>
    <t>會計師明細內查無會計師考試及格證書字號(113/02/06過年前LINE提到的)</t>
  </si>
  <si>
    <t>併#313</t>
  </si>
  <si>
    <t>會計師的明細資料中看不到完整的公發文號</t>
  </si>
  <si>
    <t>查詢王慕凡、張宜鈞，由新系統做任職事務所異動，經查訊後發現異動記錄內之明細:異動前事務所僅出現統編，看不出異動前為哪間事務所
需要在會員查詢&gt;異動紀錄&gt;明細中，除了統編也要看到事務所名稱，才能前後對照
畫面ui要有
項目:任職事務所異動
1)異動前: 名稱, 統編, 退出日
2)異動後: 名稱, 統編, 加入日</t>
  </si>
  <si>
    <t>KEY IN王慕凡會計師，異動項目:公發簽證變更，資料填入，無法儲存。</t>
  </si>
  <si>
    <t>再次執業的會計師無法異動，如徐沛君會計師再次執業之事務所為誠品聯合新北分所:任職事務所無法異動，執業登記變更無法異動，113.1.11全聯會一字第1130000017號(會計師二次執業登記的日期及文號)，事務所變更錄申請113.01.11全聯會二字第1130000014號，加入日期為113.01.01，誠品聯合新北分所統編為20396901D，資料無法異動。
執業登記已經廢止或是註銷的會計師，在會員異動藥可以在轉換為"正常"
另外要編輯當中，要可以編輯"現職"
會員資料視窗中沒有「考試及格證書」(新增/編輯的時候有打，但明細內查無考試及格證書字號)</t>
  </si>
  <si>
    <t>事務所組織型態變更，聯合所、合署所、法人所職稱應搭配所長或總裁或董事長，個人所職稱為執業會計師，如聞新會計師事務所因會計師加入組織型態變更為聯合所，明細內無法做變更，依然顯示執業會計師
所以事務所管理的編輯，直接開放可以修改負責人名稱(可不填)、負責人職稱(可不填)、聯絡人姓名(可不填)</t>
  </si>
  <si>
    <t>任職事務所異動(資料無法KEY IN: 退出日期、公文日期、文號及加入日期、公文日期、文號應為非必填，因應會計師不同狀況                                                                                                                                                                                                                         狀況一:會計師單純內部異動僅會有會計師公文日期及文號。(陳宏家會計師執業所別變更，不需要事務所變更，所以沒有公文日期及文號及退出日期及加入日期)                                                                                                                                                                                                                  狀況二:會計師僅退出或加入(擇一)並不會有其中之一的公文日期及文號。(張智倫會計師退出嘉威聯合)                                                                                                           與no.276</t>
  </si>
  <si>
    <t>#併303</t>
  </si>
  <si>
    <t>會計師已執業登記及事務所登錄已廢止為何會計師狀態還看的到事務所?範例:何雁梅會計師
※ 若所屬事務所是註銷的，查詢時會計清單就不該顯示事務所</t>
  </si>
  <si>
    <t>應走正規流程
會計師任職異動為無事務所
事務所進行廢止註銷(如果有需要)</t>
  </si>
  <si>
    <t>報表模組"金管會業務季報統計少了"發文"</t>
  </si>
  <si>
    <t>事務所管理新增事務所，點選事務所名稱時下拉式選單改成可以打字尋找</t>
  </si>
  <si>
    <t>報表-空戶列表，撈出的結果有誤
例如
黃協興        L120657023
黃奕睿        L120634575
都有加入很多公會，但被列在空戶列表</t>
  </si>
  <si>
    <t>郭副秘書長</t>
  </si>
  <si>
    <t>會員任職異動的事務所可以用跟事務所管理一樣的元件方便快速查詢</t>
  </si>
  <si>
    <t>助理人員(事務所經辦帳號登入
助理人員管理&gt;助理人員清單網址錯了
應該是https://test.roccpa.org.tw/TACCTG/assistant/list/{事務所id}，現在跑到事務所送件去了
助理人員管理&gt;助理人員送件網址錯了
應該是https://test.roccpa.org.tw/TACCTG/assistant/apply/list/{事務所id}，現在跑到事務所送件&gt;新增的網址去了
另外，事務所送件的新增，經辦權限不應該看到允許不上附件的勾勾
且如果權限只勾查詢時，應該不能看到編輯/刪除的選項</t>
  </si>
  <si>
    <t>助理二審完取號，下一筆再取的時候有可能會跳號
推測應該是過年前的人工取號修正造成問題，需要盤點問題</t>
  </si>
  <si>
    <t>Will</t>
  </si>
  <si>
    <t>2024/3/27 無法重現</t>
  </si>
  <si>
    <t>課程帳款明細報表
需要加上出席率的統計 (報到成功/繳費成功?)</t>
  </si>
  <si>
    <t>二審完成後，到職核備文號應該要跟到職收收文號一樣
但現在是到職收文文號正確，但到職核備文後抓了不知道哪來的數字</t>
  </si>
  <si>
    <t>助理清單的返回，希望能夠回到查詢該助理的上一頁</t>
  </si>
  <si>
    <t>助理人員送件中，上傳的順序是身分證、畢業證書、成績單、其他
但在一審/二審中，顯示的上傳檔順序，身分證圖片跑到最後面了，要依照選項順序才對</t>
  </si>
  <si>
    <t>不是委員身分的會計師在報名課程時也會出現委員選項，應該要能辨識是否為委員，只有委員才能選擇委員報名</t>
  </si>
  <si>
    <t>事務所預查--查詢"敏榮"時,公會舊系統裡面有出現"敏傑工商""敏慎"...等,但是這裡查詢卻沒有出現"敏慎"...</t>
  </si>
  <si>
    <t>事務所地址字數太長會被截掉
 需要最長字數的說明
 需要可擴增，或是自動縮小字</t>
  </si>
  <si>
    <t>申報112年到職或離職助理人員，還是需要付勞保的加退保證明(期限應該要在2/29號以後才需要付)
※本年度229以前的到離職，不需要附前一年度的勞保加退保證明(目前會務有做，但事務所經辦的送件沒處理到)
本年度 3/1 起    去年度 到/離 職  勞保資料必填
本年度 2月最後一天前  去年度到/離 職  勞保資料非必填
本年度1/1 起   前一年度(當年-2)的  到/離 職 勞保資料必填</t>
  </si>
  <si>
    <t>委員名單匯入範例，是否可以不用每項都必填?黃框內之項目就好，其他的不必要
(姓名,身分證,電子郵件,單位名稱,任職期間(起),任職期間(迄), 狀態</t>
  </si>
  <si>
    <t>委員匯入功能沒辦法正常匯入</t>
  </si>
  <si>
    <t>確認為資料面問題，資料正確時可正常匯入</t>
  </si>
  <si>
    <t xml:space="preserve">順天崧禾法人  統編88037333  型態:法人  狀態:廢止      廢止公文日期:113年01月12日  公文文號:全聯會二字第1130000020號                                                                                                                                       順天崧禾聯合  統編94634225  型態:聯合  狀態:核准      核准公文日期:113年01月12日  公文文號:全聯會一字第1130000021號      </t>
  </si>
  <si>
    <t>check:資料已覆蓋不處理</t>
  </si>
  <si>
    <t>會員資料管理裡面的"職前訓練"欄位,舊資料沒有進來.例如謝欣芸,陳福興,劉彥維</t>
  </si>
  <si>
    <t>會員資料管理裡面--&gt;查詢出的會員資料--&gt;編輯-&gt;事務所電話,事務所傳真,要可以直接編輯</t>
  </si>
  <si>
    <t>會計師的查詢&gt;編輯中有會計師考試及格證書字號
但明細沒有，需要補上</t>
  </si>
  <si>
    <t>助理人員清單的匯出，並沒有吃到篩選器的值
例如先選離職&gt;查詢，再匯出依然是全部</t>
  </si>
  <si>
    <t>要先按"離職/任職中"
按查詢，結束後再匯出，確認功能正常</t>
  </si>
  <si>
    <t>課程活動的附款畫面
「請於30分鐘內完成繳費，逾期將取消報名」目前web有但app沒有須補上</t>
  </si>
  <si>
    <t>每一堂課的匯出名單，需要多匯出Order Number方便跟Tappay對帳</t>
  </si>
  <si>
    <t>會員管理&gt;會員資料管理&gt;異動記錄:任職事務所，看不出新舊事務所異動的事務所名稱、退出或加入的時間。</t>
  </si>
  <si>
    <t>跟#311重複</t>
  </si>
  <si>
    <t>會計師現在沒事務所的話，無法再會員異動&gt;廢止
要修改為可以做廢止</t>
  </si>
  <si>
    <t>"如果在事務所異動&gt;組織型態變更(例如從個人變成聯合）
所屬的會計師 member.office_tax_id就會變成空白"</t>
  </si>
  <si>
    <t>無法重現</t>
  </si>
  <si>
    <t>公會新建會員取得會籍編號後
全聯會同樣身分證的會員有取得各公會的入會日期，但卻沒取得會籍編號</t>
  </si>
  <si>
    <t>登入介面的密碼欄位要有小眼睛可以點選看到自己輸入的密碼</t>
  </si>
  <si>
    <t>助理人員如果二審退回，一審修正後再送，系統中的名單排序會被異動
今日有2家事務所二審退回再送，系統排序跟紙本文件不同，有修改的都跑到第1位，請確認，謝謝。</t>
  </si>
  <si>
    <t>活動授權用戶如果按了刪除，這個用戶曾經的上課紀錄(以及當時所屬的事務所相關繳費資訊)
要確認都能保留且報表列印無誤(印花稅、收據明細)，必須要歸屬到當時事件發時的事務所</t>
  </si>
  <si>
    <t>授權用戶的前台介面顯示，需要對身份證字號做隱碼</t>
  </si>
  <si>
    <t>委員上完課之後，需要不可產出學分證明，且學分必須被登到4條9(與原有課程無關)</t>
  </si>
  <si>
    <t>陳冠瑋</t>
  </si>
  <si>
    <t>會員管理&gt;特殊，要可以單純看印鑑卡不用看到明細
現在只勾特殊的話，上方的會員資料管理的tab沒有出來</t>
  </si>
  <si>
    <t>是否能夠開放事務所的人可以查詢助理人員清單</t>
  </si>
  <si>
    <t>助理人員的公文產生時，承辦人員要等於按下一審同意的user code</t>
  </si>
  <si>
    <t>https://member.roccpa.org.tw/TACCTG/event/detail/3280#
新增報名後，按繳款無法變更為繳款狀態</t>
  </si>
  <si>
    <t>助理人員歷史，要清除資料為某個欄位是空白時
沒辦法正常保存
另外助理審核/維護&gt;這個權限似乎不能刪除資料</t>
  </si>
  <si>
    <t>經查詢目前後端的規則是，原本的欄位有資料時不能將該欄位更新為null，只能更新有資料的情境
後端篩除的權限為 助理人員審核的維護</t>
  </si>
  <si>
    <t>系統發送信件之預設聯絡人,可否新增或更改預設聯絡人資訊</t>
  </si>
  <si>
    <r>
      <rPr>
        <rFont val="Arial"/>
        <color theme="1"/>
      </rPr>
      <t>協助更改資料庫關鍵字跟 app名稱兩部分,都改為「會計師公會全聯會」
備註:因為"報名活動通知信"內容寫:請事先下載</t>
    </r>
    <r>
      <rPr>
        <rFont val="Arial"/>
        <strike/>
        <color theme="1"/>
      </rPr>
      <t>中華民國會計師公會會計師公會</t>
    </r>
    <r>
      <rPr>
        <rFont val="Arial"/>
        <color theme="1"/>
      </rPr>
      <t>「</t>
    </r>
    <r>
      <rPr>
        <rFont val="Arial"/>
        <color rgb="FFFF0000"/>
      </rPr>
      <t>會計師公會全聯會</t>
    </r>
    <r>
      <rPr>
        <rFont val="Arial"/>
        <color theme="1"/>
      </rPr>
      <t>」專屬APP使用</t>
    </r>
  </si>
  <si>
    <t>地區公會與全聯會合辦4條1款課程(150元)報名、繳費及收據之整合
 ※ 折衷作法，地方公會可代開全聯會收據，蓋上全聯會印花稅章，並取全聯會流水號</t>
  </si>
  <si>
    <r>
      <rPr>
        <rFont val="Arial"/>
        <color theme="1"/>
      </rPr>
      <t xml:space="preserve">已廢止的會計師要可以再設定成授權用戶;以及由授權用戶變成會計師身分,以id為唯一值,調整身份變動的路徑.(另外增加介面,可勾選授權用戶變成會計師前的學分匯入)
</t>
    </r>
    <r>
      <rPr>
        <rFont val="Arial"/>
        <b/>
        <color rgb="FFFF0000"/>
      </rPr>
      <t>**4/15會議討論:
1.授權用戶-&gt;會計師--&gt;要自動停用授權用戶帳號(軟刪除).
2.授權用戶從A所-&gt;B所後,(A所資料軟刪除,要保留當時的資料,且舊資料報表要能查詢的到,例如:年度收據明細表,事務所應收帳款請款明細)</t>
    </r>
  </si>
  <si>
    <t>已發布的課程內容，希望後台可以隨時修改內容(如課程名稱.內容.日期.地點...等)
建議整體討論需要可隨時修改的內容以及要利用延期功能修改的內容(因為延期會發通知信)</t>
  </si>
  <si>
    <t>居留證格式是雙英文字母打頭，所以報名課程時會跳出格式錯誤</t>
  </si>
  <si>
    <t>新增報名-匯入名單的功能無法使用</t>
  </si>
  <si>
    <t>馬傑奎會計師
事務所:博誠會計師事務所
變更完統編後:會員管理&gt;會員資料管理&gt;外面事務所變更別間事務所/明細內會計師沒有事務所狀態</t>
  </si>
  <si>
    <t>經查沒有Bug
但規則會檢查有沒有事務所的廢止日期
該事務所有所以才沒顯示</t>
  </si>
  <si>
    <t>課程匯出名單，要新增月結(金額)、是否委員、是否使用抵用券
方便會務人員使用</t>
  </si>
  <si>
    <r>
      <rPr>
        <rFont val="Arial"/>
        <color theme="1"/>
      </rPr>
      <t xml:space="preserve">課程:匯出名單時，如果是授權用戶報名，事務所名稱會為空，應該要把所屬事務所也讀出來(會計師正常)
</t>
    </r>
    <r>
      <rPr>
        <rFont val="Arial"/>
        <color rgb="FFFF0000"/>
      </rPr>
      <t>目前匯出名單，事務所名稱都還是空的，收據是否會有事務所名稱?
訪客報名呢?報名欄位沒有事務所名稱可填寫</t>
    </r>
  </si>
  <si>
    <t>收據無法下載列印</t>
  </si>
  <si>
    <t>課程日結單無法產出</t>
  </si>
  <si>
    <t>授權用戶報名課程後，下載收據會變成空檔</t>
  </si>
  <si>
    <t>課程關鍵字搜尋無效</t>
  </si>
  <si>
    <t>因地方公會入會流程會發生在全聯會建檔之前
導致會編相關資訊無法正常拋送，需要有補救方式
加一個"更新會籍資訊"的按鈕讓會務人員手動request</t>
  </si>
  <si>
    <t>電子報發送名單增加"非執業會員"
※作為一種群組</t>
  </si>
  <si>
    <t>活動與課程管理-&gt;活動時間,報名時間,最後編輯時間的點擊排序無法正常排序.</t>
  </si>
  <si>
    <t>課程匯出名單，月結整個欄位跑掉</t>
  </si>
  <si>
    <t>事務所應收帳款明細按匯出的會出現400錯誤</t>
  </si>
  <si>
    <t>課程活動報名管理-活動與課程管理-學分編輯,裡面的"清除重填"按鍵沒有反應.</t>
  </si>
  <si>
    <t>課程活動報名管理-活動與課程管理-學分編輯
1.如果是用"查詢日期或課程名稱"查出來的資料,同一日期及同一課程的名單,請按姓氏筆畫排序 
   範例&gt;正式機&gt;課程與活動管理&gt;學分編輯&gt;日期選2024/4/9，查出來的順序應是
   課程日期(asc)&gt;課程名稱(asc)&gt;姓名筆劃(asc)&gt;事務所名稱(asc)
2.編輯修正後要返回當下的頁面,而非回到第一頁</t>
  </si>
  <si>
    <r>
      <rPr>
        <rFont val="Arial"/>
        <color theme="1"/>
      </rPr>
      <t>進修時數登記表列印-進階查詢-選擇只印核准-未入公會,連已廢止的會計師都會跑出來
-- 請補特徵資料,</t>
    </r>
    <r>
      <rPr>
        <rFont val="Arial"/>
        <b/>
        <color rgb="FFFF9900"/>
      </rPr>
      <t>例如曹劍.林渚霖.毋啟樺,孫耀輝.吳亞婷</t>
    </r>
  </si>
  <si>
    <t>報表模組內&gt;金管會業務寄報統計，收文及發文都是用全聯會一字第，不得參雜其他，如全聯會字第及全聯會二字第全聯會三字第</t>
  </si>
  <si>
    <r>
      <rPr>
        <rFont val="Arial"/>
        <color theme="1"/>
      </rPr>
      <t xml:space="preserve">課程報名時填的身分證字號,要對應正確的姓名,才能報名。例如4/9許晏蓉以陳美華會計師的身分證字號報名，收據出現的是陳美華的名字，那學分會是誰的-
</t>
    </r>
    <r>
      <rPr>
        <rFont val="Arial"/>
        <b/>
        <color rgb="FFFF0000"/>
      </rPr>
      <t>**04/15會議討論-將姓名跟id都變灰色無法更改,已辦理完之課程,請凌群協助資料庫調整,若會計師id跟姓名不一樣不能給學分.</t>
    </r>
  </si>
  <si>
    <t>4/9匯出名單-檔案無法開啟</t>
  </si>
  <si>
    <t>日結單以線上的"3/27(線上視訊) 綜所稅申報及扣繳實務重點解析", 其內容計算方式
1)僅能計算報名成功(取消的不能算入)
2)假設支出為0，上課人數155人=委員8+學員147，
應收金額=學員147人*1000，現金1000(黃裕仁)，
預付、劃撥=學員147人-月結16人-現金1人*1000，
未收款=月結16人*1000
3)數字不需要小數 1000.00  --&gt; 1000
附件:
目前的版本:https://drive.google.com/file/d/1onMOPd1821Kre-R51tK6s0NX0zfKh1CC/view?usp=drive_link
數字正確的版本:https://drive.google.com/file/d/1RROlev5lI6D5eLQMqIwtEYy-ai9_dDwh/view?usp=drive_link
規則:https://drive.google.com/file/d/1AwwmMekSabID-xll9GuPfCGn4rgtLGxI/view?usp=drive_link</t>
  </si>
  <si>
    <t>4/9當天現場新增報名，無連結至會計師個人資料裡(例李如山本人登入無資料)</t>
  </si>
  <si>
    <t>日結單未收款明細及抵用券明細，須列出未收金額及名單</t>
  </si>
  <si>
    <t>APP收據跟學分證明都無法下載</t>
  </si>
  <si>
    <t>此功能不會開放在APP，有是誤植會拿掉</t>
  </si>
  <si>
    <t>APP點忘記密碼無效</t>
  </si>
  <si>
    <t>報表管理&gt;事務所應收帳款請款明細
選勤業眾信(94998251)，
按匯出後的內容會出現都是同一個人</t>
  </si>
  <si>
    <t>可以匯出但內容有錯</t>
  </si>
  <si>
    <t>希望可以提供可以帶入公式之excel,可以協助學分匯入,例如,補上沒有id的學分匯入資料.
-- 事務所寄來的資料，貼上我們的模板後，自動抓取名字+事務所名稱帶出身分證字號</t>
  </si>
  <si>
    <t>會計師查詢"進修時數登記表列印"功能不見了,麻煩協助確認,以及後續權限要如何設定(此功能預計5月底再開放給會計師使用)</t>
  </si>
  <si>
    <t>4月底資料移轉時,麻煩協助助理人員時擔任專教會課程的講師,成為會計師後,要回登此學分.(林孟賢(安永聯合)112年8月22日,講授8/22(台北)溫室氣體盤查理論與實務</t>
  </si>
  <si>
    <t>增加會務人員可以列印會計師收據之功能.</t>
  </si>
  <si>
    <t>身分變更的測試:    在測試機廢止張立揚(會計師) ,建了授權用戶 ,又復活張立揚(會計師) ,但授權用戶那邊未消失(應該要能自動軟刪除授權用戶帳號)
Samuel補充, 這一段我們有做, 但做法要調整; 目前是助理的直屬會計師, 要刪除, 才能變為會計師; 做法-&gt;授權用戶; 但會務一但增加他, 則不用經過原直屬會計師的刪除, 直接轉換 
Wei: 彭以驊 (F126006295) 再測試機可以建成授權助理但正式機不行</t>
  </si>
  <si>
    <t>113年4/30要補轉課程資料,112.113年的學分資料要全部重新倒入(在新系統裡辦理過的113年的課程活動資料要保留)</t>
  </si>
  <si>
    <t>課程匯出名單裡，月結事務所報到的會計師都沒有報到時間</t>
  </si>
  <si>
    <t>請款.退款部分應該皆由系統通知taypay刷卡請款.退款，目前只有請款，退款還要由會務人員手動通知taypay退刷，增加工作量</t>
  </si>
  <si>
    <t>需要討論退款方式的所有情境才能決定如何調整</t>
  </si>
  <si>
    <t>事務所預查--"台灣國際商業"這個名稱的會計師再88年就已廢止,但在預查這邊查詢卻還會出現.</t>
  </si>
  <si>
    <t>系統優惠券匯入功能</t>
  </si>
  <si>
    <t>同#404</t>
  </si>
  <si>
    <r>
      <rPr>
        <rFont val="Arial"/>
        <color theme="1"/>
      </rPr>
      <t xml:space="preserve">報表測試-當身分變更時,相對應的報表要能保留當時狀態,例如:年度收據明細表,事務所應收帳款請款明細,要保留當時的資料,且資料報表要能正確查詢產出
例如:
</t>
    </r>
    <r>
      <rPr>
        <rFont val="Arial"/>
        <b/>
        <color theme="1"/>
      </rPr>
      <t>1.1月~5月是授權用戶身分在a所有上課,6月~12月變成b所會計師,那年度收據明細表,a所要能看到1~5月的資料,b所要能看到6~12月的資料.
2.1月~5月會計師是小小會計師事務所,但6月事務所更名,變成大大會計師事務所,報表裡面資料要看的出來不同事務所名稱時期的正確對應資料.</t>
    </r>
  </si>
  <si>
    <t>報表模組-課程帳款明細報表-資料錯誤-有些課程講師為空白-且應收金額錯誤，應該是刷卡成功+現金+月結
應收帳款也統計錯誤</t>
  </si>
  <si>
    <t>後者與#384相同
前者為資料面問題，有幾個真的沒有講師資料
南區國稅局輪值
4/15(台中)洗錢防制發展趨勢與案例研析
4/9(台北)洗錢防制發展趨勢與案例研析
3/20(線上視訊)網路交易之各項稅務申報實務－營所稅
113年03月29日「會計師事務所參訪觀摩」(北部場)
3/28(台北)公司經營權爭議案例介紹及相關法令解析
3/27(台北)預立有效遺囑與案例解析
※資料面問題，先確認問題所在</t>
  </si>
  <si>
    <t>如果課程設定訪客報名，會計師登入報名就沒有鎖住身分證字號跟姓名了</t>
  </si>
  <si>
    <t>活動與課程管理--&gt;"學分匯入"的EXCEL檔:
報到頁面,麻煩增加"報到日期"
**上面NO.203再麻煩一併協助,判別後續"報到日期"欄位是否為必填欄位(如果遇到輪值或會議時數匯入的情境:因為這部分匯入,需在報到頁面增加一欄學分數)</t>
  </si>
  <si>
    <t>授權用戶沒有報到，但有繳費，自己下載收據顯示錯誤，用會務人員的權限可以下載
同樣 會計師沒辦法下載收據會變成0kb，測試機可重現</t>
  </si>
  <si>
    <t>在做(崇誠聯合)助理人員名冊時，發現有一位洪佩芳小姐，他的到職日期是90/11/1但匯出來的資料卻是他舊公司(安侯)的到離職日
後來發現所有的事務所同仁，只要有兩筆以上的到離職日期都會抓錯資料</t>
  </si>
  <si>
    <r>
      <rPr>
        <rFont val="Arial"/>
        <color theme="1"/>
      </rPr>
      <t>報表模組-年度收據明細表
另外在這張報表可否多加兩個欄位-</t>
    </r>
    <r>
      <rPr>
        <rFont val="Arial"/>
        <b/>
        <color theme="1"/>
      </rPr>
      <t xml:space="preserve">1.報到狀態. 2.課程時數
</t>
    </r>
    <r>
      <rPr>
        <rFont val="Arial"/>
        <color theme="1"/>
      </rPr>
      <t>-- 需要開新功能專門查非會計師身分的上課與報到紀錄</t>
    </r>
  </si>
  <si>
    <r>
      <rPr>
        <rFont val="&quot;Google Sans&quot;, Roboto, sans-serif"/>
        <color rgb="FF1F1F1F"/>
        <sz val="10.0"/>
      </rPr>
      <t>報表模組-年度學分數明細-少了"</t>
    </r>
    <r>
      <rPr>
        <rFont val="&quot;Google Sans&quot;, Roboto, sans-serif"/>
        <b/>
        <color rgb="FF1F1F1F"/>
        <sz val="10.0"/>
      </rPr>
      <t>姓名"跟"事務所"</t>
    </r>
    <r>
      <rPr>
        <rFont val="&quot;Google Sans&quot;, Roboto, sans-serif"/>
        <color rgb="FF1F1F1F"/>
        <sz val="10.0"/>
      </rPr>
      <t>兩個欄位.(之前已提供過舊系統範例表格)</t>
    </r>
  </si>
  <si>
    <t>確認沒問題</t>
  </si>
  <si>
    <t>課程活動報名管理-課程時數查詢-匯出的名單欄位要有"身分證字號"</t>
  </si>
  <si>
    <t>活動與課程管理-裡面的"匯入"功能,匯入後的檢視頁面要出現"課程日期"不是建立時間.</t>
  </si>
  <si>
    <t>活動與課程管理-裡面的"學分編輯",功能鍵的刪除無法操作.請幫我刪除王日春,王松茂113/4/28課程</t>
  </si>
  <si>
    <t>5/14 用wei提供的檔案已能正常使用
5/16 經查詢，目前篩除權限要用學分管理的特殊</t>
  </si>
  <si>
    <t>事務所很多都沒有郵遞區號，舊系統要再mapping過來</t>
  </si>
  <si>
    <t>希望建立一個暫時的標籤清單，設定要寄的身分證字號清單(全聯會先提供)</t>
  </si>
  <si>
    <t>月結的結帳與收據邏輯應符合以下敘述
1. 月結結清時，對應報名的會計師狀況若是已繳款，因統一切為「已結清」
2. 月結結清時，不需要派給收據編號給會計師
3. 事務所月結&gt;結清&gt;產出的收據，獨立一個流水號(可參考water_no)，S1139999 (113加上四位數)，跨年要+1，若查詢日期跨月則應該要給等同月份數的收據數量
4. 事務所月結的收據，不需要理事長的章，但要加上去點這個pdf的經辦章(經手人)
5. 左上角的關鍵字目前在測試機看到尚未連動現有keyword</t>
  </si>
  <si>
    <t>課程日結單公司經營權爭議案例介紹及相關法令解析匯出之後
金額是錯誤的
邏輯如下
應收金額 = 所有報名(有繳錢沒取消)的金額(包含月結)
已收款_現金匯款 = 會務人員按的繳款確認
已收款_預付 = 信用卡
已收款_抵用券 = 抵用券
未收款 = 月結金額
當日結存金額_收入 =上方的已收款全部
支出 = 另外打得
結餘 = 收入 - 支出
目前未收款明細 跟 未收款的總額對不起來
另外章大小比例有問題</t>
  </si>
  <si>
    <t>報表&gt;事務所應收帳款明細
只需要列出報名成功(沒有取消)的人就好，現在連已經取消的都會被撈出來</t>
  </si>
  <si>
    <t>報表模組-年度收據明細表,"單位"(授權用戶的沒有列出)及"上課日期"(年月日都要有)是空白的;
且 收據號碼抓錯欄位，應該要抓到event_apply的收據編號，還有#409的流水號如果有結在這個月份也要被抓進去
且 只需要抓有收錢的就好
※如果使用抵用券，是不應該產生收據號碼的</t>
  </si>
  <si>
    <t>助理人員送件被退件後
若送件數量有2人以上
點更新&gt;再第二個人切換會計師資格、兩年以上工作服務證書、記帳士證書這三個欄位時會變成白畫面</t>
  </si>
  <si>
    <t>學分編輯-張育翔 113年度/ 1/29要調整至111年度出現:新增失敗,請確認課程名稱正確
※只有一堂課很容易判斷 
施純良 113年度/ 1/29IFRS永續揭露準則  調整至112年度出現:新增失敗,請確認課程名稱正確
許芝蓉  113年度/ 4/2新版查核作業程序指引   調整至112年度出現:新增失敗,請確認課程名稱正確
梁素梅 113年1月12日 CFC制度之修法重點  調整至112年度出現:新增失敗,請確認課程名稱正確</t>
  </si>
  <si>
    <t>"報表模組-持續進修時數不足-查詢條件111年及時數標準未達-產出的報表有誤。
1.例如:陳聖芬已足夠(公發狀態應該為""N""),卻還是顯示出名單。
2.查詢111年時數未達的名單裡面,還會出現112.113年度才執業的會計師名單。(例如說，黃樹傑是113才執業登記，不應該出現111未達)
3.昇徽合署的王瑞鴻-111年時數不足,卻沒有在報表中出現。
4.出現很久以前就廢止的會計師，例如歐德堅.王金蘭.李賢岳…等"  -- 廢止的不應該出現(停執的要)</t>
  </si>
  <si>
    <t>報表模組-年度學分數明細-出來的報表中有的人會出現兩筆一模一樣資料,例如何淑敏  Y200275018,林卉娟 R222340304,林富達E102299411...等
還有出現已廢止的:林秀玲P220149709,林富達E102299411,楊麗文N220020422...等</t>
  </si>
  <si>
    <t>舊系統轉入的學分資料,如果是洗錢防制的時數,在進修時數登記表下方,洗防的目前時數都抓不到都顯示為0,也會造成該年度學分判斷錯誤變成未達.
例如111年度的陳惠媛,  112年度的謝如幸,康隆達,李儒哲 .</t>
  </si>
  <si>
    <r>
      <rPr>
        <rFont val="Arial"/>
        <color theme="1"/>
      </rPr>
      <t>身分轉換:會計師廢止-&gt;授權用戶, 可以單筆新增授權用戶,但無法用excel匯入 ;另外彭以驊(勤業眾信聯合</t>
    </r>
    <r>
      <rPr>
        <rFont val="Arial"/>
        <b/>
        <color rgb="FFFF0000"/>
      </rPr>
      <t>)新增授權用戶後</t>
    </r>
    <r>
      <rPr>
        <rFont val="Arial"/>
        <b/>
        <color rgb="FFFF0000"/>
        <sz val="12.0"/>
      </rPr>
      <t>無法使用月結.</t>
    </r>
  </si>
  <si>
    <t>授權用戶匯入不能用的原因是因為Email用了超聯結，要記得移除
測試機的會員狀態DB部分因為有亂改過一次，顯是會不正確，調整正確後可匯入</t>
  </si>
  <si>
    <r>
      <rPr>
        <rFont val="Arial"/>
        <color theme="1"/>
      </rPr>
      <t>進修時數登記表列印-有公發資格變動的人,他們變動的前面年度,會變成每年都產出兩張時數表,(一張是公發標準,一張一般標準的.)再麻煩修改為只要留下該年度標準的那張就好.--</t>
    </r>
    <r>
      <rPr>
        <rFont val="Arial"/>
        <b/>
        <color rgb="FFFF0000"/>
      </rPr>
      <t>就是每年度一個人只會有一張時數登記表
公開發行簽證:
112年度, 取消公開發行, 則112年度只要列印"一般標準"就可以,但之前年度, 依然適用"公發標準"
112年度, 核准公開發行, 則112年度只要列印"一般標準"就可以,113年度列印"公發標準",但之前年度, 依然適用"一般標準"</t>
    </r>
    <r>
      <rPr>
        <rFont val="Arial"/>
        <color theme="1"/>
      </rPr>
      <t xml:space="preserve">
例如:
(一)張威珍-112/02/14撤銷公開發行財務簽證,所以時數表部分112為一般標準(7跟13),111年度之前都是公發標準(14跟26)
(二)羅玟忻-108年非公發標準(7.13).109.110.111.112都是公發標準(14.26),113年度撤銷又核准公發,所以113年是一般標準(7.13)
108/11/13  金管證審字第1080335064號  核准,20191113
113/02/07  金管證審字第1130131977號  撤銷,20240207
113/04/15  金管證審字第1130339700號  核准,20240415
(三)王慕凡-101年核准公發,所以101~111年都是公發標準,然後112年撤銷公發,所以112年應該是一般標準(7.13),113年又核准公發標準,但變更年度從優,所以113年還是一般標準(7.13)---</t>
    </r>
    <r>
      <rPr>
        <rFont val="Arial"/>
        <color rgb="FFFF0000"/>
      </rPr>
      <t>但是要等憶婷執登那邊修改公發變更的紀錄.</t>
    </r>
    <r>
      <rPr>
        <rFont val="Arial"/>
        <color theme="1"/>
      </rPr>
      <t xml:space="preserve">
101/12/11 金管證審字第1010057100號 核准,20121211
113/02/16 金管證審字第1130333429號 撤銷,20231221
113/02/22 金管證審字第1130333869號 核准,20240222</t>
    </r>
  </si>
  <si>
    <t>會計師因金管會懲戒委員會懲處停業6個月，請確認是否會自動復執
有日期的需要能夠自動復執</t>
  </si>
  <si>
    <t>助理人員-更改到離職資料時，按下保存後，離職核備日期會跳程非原本修改的值</t>
  </si>
  <si>
    <t>助理人員-文號(全聯會三字第)沒辦反做更改，會導致舊資料的顯示不正常</t>
  </si>
  <si>
    <t>9/12 標準格式應為"北財管一字第127134928號"、"北財管一字第4362784號"等格式(只能有數字以及中文字)
         若有"北財管XXX字第23789號"或是"2632718號"均會跳出錯誤訊息需一併調整為標準格式才能保存</t>
  </si>
  <si>
    <t>1.學分編輯-如果有首次執業的,該年度及之前年度不需列未達提醒符號
例如:孫理,李伯昌,鄭力維 113年執業登記
2.學員學分編輯查詢-&gt;查詢日期或課程名稱---□學分不足 □洗錢防制時數不足,  這裡的勾選要排除首次執業落在日期區間的.</t>
  </si>
  <si>
    <r>
      <rPr>
        <rFont val="Arial"/>
        <color theme="1"/>
      </rPr>
      <t xml:space="preserve">非執業會員管理-查詢(姓名)-操作功能(會員資料表)---看不到"匯入"跟"上傳"兩個功能按鍵?  (非執業會員管理權限只差特殊沒開)
</t>
    </r>
    <r>
      <rPr>
        <rFont val="Arial"/>
        <color rgb="FFFF0000"/>
      </rPr>
      <t>*6/17測試非執業會員權限全開,仍無法看到"上傳"功能按鍵.</t>
    </r>
  </si>
  <si>
    <t>會員管理&gt;事務所月結清單，應以倒敘顯示最新的月份
且目前即便113/05有資料，也無法透過換頁找到，要查詢月份才查得到
且點擊查看，也沒有顯示全部的月結清單也無法換頁，匯出也沒有全部的月結人員在Excel
感覺都是只顯示前10筆</t>
  </si>
  <si>
    <t>報表模組-事務所應收帳款請款明細，課程日期錯誤抓到建置課程的日期，內容不正確(取消的抓進來，該收錢的沒抓到)應收金額也有錯誤</t>
  </si>
  <si>
    <t>內容不正確(取消的抓進來，該收錢的沒抓到)
這個#411處理</t>
  </si>
  <si>
    <t>課程活動報名管理--活動與課程管理--學員學分編輯--查詢鄭力元113年,只有出現洗防不足的提示,學分不足的提示沒有出現.
因為他112年度的整個學分跟洗防都是不足的.照理來說 學分不足,跟洗防不足的提示都要有.
範例2:黃守謙,黃芳女,賴冠州 ,許明賓.張耀仁 112年不夠卻沒有出現學分不足符號</t>
  </si>
  <si>
    <t>會計師報名成功的mail無法顯示QR Code</t>
  </si>
  <si>
    <t>楊聰權 的進修學分登記表上沒有顯示事務所名稱(是因為楊聰權事務所資料沒有進來?)</t>
  </si>
  <si>
    <t>修改DB</t>
  </si>
  <si>
    <t>公文的編輯按紐，必須要改成在指派到誰身上時，才能出現，否則不出現</t>
  </si>
  <si>
    <t>1. 地方公會會籍資訊同步給全聯會時(目前歷史紀錄有寫)
    若是退會，應該入會日期跟會籍編號清空(目前只清會籍編號)，歷史紀錄保留
2. 若是全聯會手打，則也要寫入會籍資訊異動紀錄中</t>
  </si>
  <si>
    <t>"課程與活動管理&gt;學分編輯&gt;選擇4/9，勾選學分不足與洗防不足&gt;查詢
查出來雖然一頁寫20筆，但結果是兩筆，且按下一頁是空白
目前發現結果似乎是過濾完的結果在顯示上沒處理"</t>
  </si>
  <si>
    <t>9/11 Dennis</t>
  </si>
  <si>
    <t>委員有付錢上課時(如果有委員身分但又選付錢)
日結單收據就不能算他是委員，要當成是一般人
舉例，event id = 3277
另外課程日結單，流程確認要人工壓章，所以印章留白就好</t>
  </si>
  <si>
    <t>活動課程與管理頁面的取消人數沒有正確讀取，都是0</t>
  </si>
  <si>
    <t>報表-金管會業務季報
收文的結案結果沒有帶出文字
發文缺結案結案欄位且須帶出文字</t>
  </si>
  <si>
    <t>如果是課程報到為"非本人"之會計師,課程名稱及日期,不要出現在持續進修小時登記表上.例如:李淑敏 3/27(台北)預立有效遺囑
與案例解析跟3/28(台北)公司經營權爭議案例介紹及相關法令解析</t>
  </si>
  <si>
    <t>優惠券查詢的功能會因為卡頁的關係導致看不到結果</t>
  </si>
  <si>
    <t>UAT可以用優惠券報名
但正式機勾了優惠券還是跑到付款頁</t>
  </si>
  <si>
    <r>
      <rPr>
        <rFont val="Arial"/>
        <color theme="1"/>
      </rPr>
      <t>優惠券寄出的信件
會計師您好!
貴會計師113年度累計第4條第1款之進修時數，超過30小時...blabla
開頭改為  貴會計師</t>
    </r>
    <r>
      <rPr>
        <rFont val="Arial"/>
        <color rgb="FFFF0000"/>
      </rPr>
      <t>前一</t>
    </r>
    <r>
      <rPr>
        <rFont val="Arial"/>
        <color theme="1"/>
      </rPr>
      <t>年度...</t>
    </r>
  </si>
  <si>
    <t>取消報名的話，優惠券不會還會計師</t>
  </si>
  <si>
    <t>會計師身份證字號 B221709477
4/1 從高雄公會退會，會員查詢&gt;明細&gt;看到的高雄公會"入會日期欄位"要更新為退會日期，會籍編號要顯示空白(這邊正確)
但異動紀錄沒有任何資料</t>
  </si>
  <si>
    <t>會員管理&gt;會員資料管理&gt;明細                                                                                                                                                                              1.從舊系統到進來的資料需要有入退會軌跡，部份會計師無入退會資料，請重新檢視。                                                                                                                                                              2.空戶列表內依據???如戴子芳會計師，無任何事務所狀態，為何在空戶列表內無此人????</t>
  </si>
  <si>
    <t>黃美慈</t>
  </si>
  <si>
    <t>會員管理&gt;非執業會員管理；非執業會員姓名：曾渼鈺
新增非執業會員，欲新增的人員曾經為執業會員，已確認目前狀態為廢止執業，依然無法做新增。</t>
  </si>
  <si>
    <t>需要優化課程關鍵字搜尋，讓打字搜尋按enter送出結果</t>
  </si>
  <si>
    <t>會員管理&gt;事務所管理&gt;助理人員清單&gt;匯出
內容有問題，如 公允聯合會計師事務所的方群翔，Excel抓到的到離職日是前一間事務所，應該要抓在此間事務所到離職的資料
如果在此間有反覆到離職，也應該列出來</t>
  </si>
  <si>
    <t>王慕凡113年度的學分標準應該為(非公發)一般標準 7跟13</t>
  </si>
  <si>
    <t>會員不應該直接看到一審二審審核結果的按鈕，要直接看到目前狀態</t>
  </si>
  <si>
    <t>報表模組&gt;日結單
如果查詢"6/7(台北)會計師簽證不實之法律責任"  (event_id = 3292)
會出現 財政局資料轉移會計師事務所：3000(彭以驊、彭以驊、彭以驊)
這不合理，這個事務所非月結，這人當初在這個事務所時也用的是信用卡</t>
  </si>
  <si>
    <t>報名匯入後
1)助理不能匯入 F224956285
2)不能月結</t>
  </si>
  <si>
    <t>會計師持續進修辦法可能會於今年修改明年施行--增加職業道德相關之學分,目前暫定為2年需進修3學分(尚未定案)</t>
  </si>
  <si>
    <t>登打會計師基本資料時，如遇到二次執業登記之會計師，系統不應該可以儲存，才不會出現兩筆資料，影響後續學分。 
例如:XXX會計師曾擔任會計師，後來重新申辦，新增後，登打身分證時應顯示已擔任過會計師且不能儲存，這樣才能辨別會計師首次執業還是非首次執業。</t>
  </si>
  <si>
    <t>是否可以優化成一次性變更
會計師基本資料異動:住居所異動/名稱變更/姓名變更
事務所基本資料異動:事務所遷址/事務所更名/事務所型態變更/事務所負責人變更</t>
  </si>
  <si>
    <t>戶籍地及事務所地址郵遞區號未呈現在新系統上，造成寄件困難</t>
  </si>
  <si>
    <t>與#407重複</t>
  </si>
  <si>
    <t>舊系統轉入的資料事務所地址不完全，最後幾個字都會少(請查明是否欄位有字數限制?)
EX:郭建中、承泰會計師事務所、立全國際會計師事務所、吳林方會計師事務所、凱鴻會計師事務所</t>
  </si>
  <si>
    <t>日結單的應收範圍
1)應為所有人(包含使用抵用卷的人)
範例) 線上6/14這堂課為例報名總人數是40人，應收應為40000, 但目前人數為39, 應收顯示39000</t>
  </si>
  <si>
    <t>事務所管理:在設立事務所有建事務所電話，會計師明細內事務所的電話卻未顯示，請協助兩邊是否有連動(除了留意電話外且注意傳真是否會一起代入)
EX:陳少鈞、李韻慈</t>
  </si>
  <si>
    <t>這兩家事務所在新增時就沒有輪入電話, 只有輪入傳真,所以新增的會計師自然也就沒有電話</t>
  </si>
  <si>
    <t>執業會員資料管理&gt;&gt;&gt;會計師搜尋(個人所)~~~明細內之分事務所，如果分事務所應為空白。
即 若主事務所統編 = 所屬事務所統編時，會員查詢&gt;明細內看到的分事務所要為空白(只要顯示主所就好)</t>
  </si>
  <si>
    <r>
      <rPr>
        <rFont val="Arial"/>
        <color theme="1"/>
      </rPr>
      <t xml:space="preserve">執業會員資料管理&gt;&gt;&gt;會員異動&gt;&gt;公發簽證變更&gt;&gt;
異動日期應與執業會員資料明細之公文日期相同
執行日期應為實際發生日
</t>
    </r>
    <r>
      <rPr>
        <rFont val="Arial"/>
        <color rgb="FFFF0000"/>
      </rPr>
      <t xml:space="preserve">**是否公發標準之進修學分標準判斷,要吃執行日期.(薇伊)
</t>
    </r>
    <r>
      <rPr>
        <rFont val="Arial"/>
        <color theme="1"/>
      </rPr>
      <t>公文日期應該要顯示異動日期</t>
    </r>
  </si>
  <si>
    <t>9/18: Dennis deploy to PROD</t>
  </si>
  <si>
    <t>五公會聯合發函及聯合簽呈要能夠在新系統進行簽核(除了承辦人外也要能簽核意見)及取文(簽)號.</t>
  </si>
  <si>
    <t>簽呈模組要獨立於收文系統,不受收文系統權限控管.</t>
  </si>
  <si>
    <t>#205整併</t>
  </si>
  <si>
    <t>發文及簽呈功能在未取號前,希望能由會務人員端自行刪除(要有權限控管)</t>
  </si>
  <si>
    <t>會計師學分登錄功能,除了excel匯入外,希望能再增加手動登錄的功能.</t>
  </si>
  <si>
    <t>會計師進修時數登記表,上方的  " 是□　否■　公開發行公司簽證會計師" ..不見了.</t>
  </si>
  <si>
    <t>課程帳款明細只要彙總4條1款的金額，而且要加總起來</t>
  </si>
  <si>
    <t>課程資料: 6/18(台北)洗錢防制國際發展趨勢與實務
https://member.roccpa.org.tw/TACCTG/event/detail/3326#
蔡侑玲  F228086720   勤業眾信聯合會計師事務所
她有報名成功，因為她本來取消了，後來現場又跑來報到
所以請幫我把她調整為正常狀態我再幫她處理為報到成功</t>
  </si>
  <si>
    <t>合併 #206 標籤優化: 
直接於標籤列印上可匯出EXCEL檔，方便全聯會會務同仁不會因為標籤大小被侷限
EXCEL欄位: 會計師姓名、事務所名稱、事務所郵遞區號、事務所地址 (僅需抓執業登記核准之會計師)</t>
  </si>
  <si>
    <t>執業會員資料管理:執業會員資料查詢，選取執業登記起訖日後按查詢，資料是否能直接產出EXCEL檔</t>
  </si>
  <si>
    <t>如果是採匯入方式進去的課程資料,不要出現在會計師使用端的"我的課程與活動".</t>
  </si>
  <si>
    <t>活動課程與管理頁面-部分會員點入會看到空白畫面的問題需解決.</t>
  </si>
  <si>
    <t>預計7/29 送安卓審 
改為滑掉視窗就要重新輸入帳密</t>
  </si>
  <si>
    <t>是否能解決hinet收不到密碼啟用信的問題.</t>
  </si>
  <si>
    <t>#hinet對sendgrid的允許問題，有點無解</t>
  </si>
  <si>
    <t>忘記密碼功能-能否增加手機認證驗證碼之類的方式.簡化會計師使用上的流程或是mail不一定要輸入公會登紀的信箱之類的~~.</t>
  </si>
  <si>
    <t>會務人員要能查詢該姓名或身份證字號是否為授權用戶.</t>
  </si>
  <si>
    <t>匯入檔案時,可以有明確提醒已匯入完成的提示</t>
  </si>
  <si>
    <t>會計師建立完成後，會計師並沒收到密碼啟用信，與之前提到建立完成後會計師可收到啟用信有所不用
EX:周怡欣會計師</t>
  </si>
  <si>
    <t>#測試機無法重現此Bug</t>
  </si>
  <si>
    <t>"執業會員資料管理-明細 或 是編輯, 其上的戶籍地址與郵地區號, db指的是 domicile_address ,domicile_zip ; 應該指為 residence_address, residence_zip 才對
請同步檢查編輯"</t>
  </si>
  <si>
    <t>助理送件-二審通過後文號的地方少了全聯會三字第這幾個字
文號1130000352、1130000354-1130000364</t>
  </si>
  <si>
    <r>
      <rPr>
        <rFont val="Arial"/>
        <color theme="1"/>
      </rPr>
      <t>1.如果會計師報到失敗(例如非本人),學分數為0,該筆資料就不要在</t>
    </r>
    <r>
      <rPr>
        <rFont val="Arial"/>
        <b/>
        <color rgb="FFFF0000"/>
      </rPr>
      <t>學分編輯</t>
    </r>
    <r>
      <rPr>
        <rFont val="Arial"/>
        <color theme="1"/>
      </rPr>
      <t>中出現.例如 江永發  藍俊雄 6/7(台北)會計師簽證不實之法律責任
2.報表模組的-</t>
    </r>
    <r>
      <rPr>
        <rFont val="Arial"/>
        <b/>
        <color rgb="FFFF0000"/>
      </rPr>
      <t>進修資料明細</t>
    </r>
    <r>
      <rPr>
        <rFont val="Arial"/>
        <color theme="1"/>
      </rPr>
      <t>也不要出現學分數是0的資料.</t>
    </r>
  </si>
  <si>
    <t>系統移轉資料不完全~~~
舊資料看不出異動紀錄之內容
EX: 蔡沅穎，異動紀錄寫任職事務所異動，內容無顯示從哪間過來的，造成資料移轉不明確
異動資料不明確，個申登機關查明資料將查不出來</t>
  </si>
  <si>
    <t>非執業會員管理部分要在做相關功能檢視-要能夠跟會計師會員一樣有帳號,可以與相關功能連動,例如報名課程,課程記錄管理,會費管理,電子報寄送,標籤列印..等</t>
  </si>
  <si>
    <t>因應進修辦法增加職業道德學分部分,相關編輯功能皆要增加職道學分不足的判斷,以及報表產出,也要能產出有一個單純職業道德不足的報表,原先進修學分不足報表的標準也要重新設定.</t>
  </si>
  <si>
    <t>所有學分要進入系統(包含所有從系統建立的課程),應該都要有經會務人員確認過後,才能匯入至系統(或是會計師才能看的到).</t>
  </si>
  <si>
    <t>執業會員資料管理:外層事務所與內層不符合，外層是錯的，內部是對的
會計師資料匯出，匯出外層資料
ex:李宜蓁  所屬敬興聯合，資料查詢外層立勳聯合
資料匯出也是立勳聯合</t>
  </si>
  <si>
    <t>事務所更名部分, 應該是總所申請登錄事務所預查就好,而非系統中的分所也要一個一個登錄事務所預查資料,後續事務所變更才有辦法運作.</t>
  </si>
  <si>
    <t>電子報信件寄送群組功能(可維護清單，建立快速群組，排除重複)還要能直接寄送及點擊連結</t>
  </si>
  <si>
    <t>#238重複</t>
  </si>
  <si>
    <t>年度收據明細表-增加-付款方式信用卡(且要附卡號後五碼，以作為辨識)</t>
  </si>
  <si>
    <t>#261重複</t>
  </si>
  <si>
    <t>月結事務所整筆匯入報名表，會務人員也可點選月結</t>
  </si>
  <si>
    <t>#449重複</t>
  </si>
  <si>
    <t>課程分類：線上、台北、台中、高雄</t>
  </si>
  <si>
    <t>課程帳款明細報表，非4條1款的不要匯入</t>
  </si>
  <si>
    <t>#464重複</t>
  </si>
  <si>
    <t>會計師進修時數登記表--如果是首次執業的前一年的學分表,也要顯示  ■不列會計師持續進修時數標準, 而非顯示■已達 ■未達</t>
  </si>
  <si>
    <t>學分登記表列印--&gt;進階查詢--&gt;勾選"會籍"及"排除會籍"查詢時,出來的報表要照勾選的那個"會籍"編號排序.</t>
  </si>
  <si>
    <t>8/26 從phase2調整為待修正</t>
  </si>
  <si>
    <t>執業會員資料管理&gt;異動項目&gt;優化顯示身分證字號旁邊增加人名，變更前或變更後之名稱應顯示
任職事務所異動: 變更前後都僅顯示統編，是否能再統編附近跳出事務所名稱</t>
  </si>
  <si>
    <r>
      <rPr>
        <rFont val="Arial"/>
        <color theme="1"/>
      </rPr>
      <t>學分登記表列印--&gt;進階查詢--&gt;勾選"地址&amp;公文",這邊的地址是要抓</t>
    </r>
    <r>
      <rPr>
        <rFont val="Arial"/>
        <b/>
        <color rgb="FFFF0000"/>
      </rPr>
      <t>所屬事務所地址</t>
    </r>
    <r>
      <rPr>
        <rFont val="Arial"/>
        <color theme="1"/>
      </rPr>
      <t>,不是戶籍地址.</t>
    </r>
  </si>
  <si>
    <t>學分證明加註(本課程可認列董事時數，洗錢防制時數)
以上是學員的證明，另外需要可列印講師的授課證明(另外提供版型)製作模組</t>
  </si>
  <si>
    <t>收據直接點直接下載(很多人找不到右邊的下載)</t>
  </si>
  <si>
    <t>同NO.368+NO.442+NO.431
會員管理&gt;會員資料管理&gt;明細                                                                                                                                                                             
1.從舊系統到進來的資料需要有入退會軌跡，部份會計師無入退會資料，如自行建入也沒有入退會軌跡，造成資料不完整，入退會資料是否重新思考如何確實連動?                                                                            
※不應先請本會提供省(市)公會入退會名單，因先解決入退會資料的連動問題，且應要解決各公會及全聯會建置資料的時間點應如何連動？
※全聯會是否可以於會計師異動項目內新增各公會入退會，才可以看出入退會軌跡?
EX:假設省(市)公會先建資料全聯會後建置，是否可以依據會計師的身分證字號代入後自行跳出入(退)會日期及會籍編號?
方式：會員編輯內，新增一個按鈕，按了會同步其他四個公會的現有會籍狀態(入會退會日期/會籍編號)</t>
  </si>
  <si>
    <t>異動項目應全面檢視連動問題:因省(市)公會提到有部分資料為連動，但並未告知提供相關資訊，是否可以確認全聯會異動後資料可以連動及省(市)公會?</t>
  </si>
  <si>
    <t>依不同條件(例如訂單號碼.身分證字號...)搜尋後台會計師報名的課程資料</t>
  </si>
  <si>
    <t>日結單修改，收入改成刷卡金額-支出改成手續費(我們自己輸入金額)</t>
  </si>
  <si>
    <t>3/20 Deployed</t>
  </si>
  <si>
    <t>事務所名稱預查的規則要再重新檢視,現有"聰慧"會計師事務所,但竟然在"事務所預查"這裡沒有出現.</t>
  </si>
  <si>
    <t>空戶列表規則重新檢視...空戶列表匯出名單大部分都是執業登記已廢止，空戶列表:會計師執業登記是正常的，沒有加任何省市公會
例如：曾玄愷</t>
  </si>
  <si>
    <t>舊的收文資料倒入新系統後,在新系統中公文系統的收文裡面,無法對應到正確的承辦人.例如收文10901494 .10901491舊系統承辦人是邱薇伊,但在新系統承辦卻顯示離職帳號</t>
  </si>
  <si>
    <t>#migration問題</t>
  </si>
  <si>
    <t>助理送件-事務所管理底下的助理人員送件點進去助理送件的時候上面的統編和真實的統編不一致</t>
  </si>
  <si>
    <t>助理人員統計-匯出的到離職人數跟總人數跟我收文統計的人數數量不一樣</t>
  </si>
  <si>
    <t>委員的學分是4條9款，學分證明不能列印，現在又可以列印了?</t>
  </si>
  <si>
    <t>安卓系統黑屏的狀況非常慘烈，麻煩請儘速處理，被客訴的很嚴重</t>
  </si>
  <si>
    <t>#469處理中</t>
  </si>
  <si>
    <t>會員管理&gt;事務所月結管理內，邏輯要重新調整
以查勤業眾信的113/6為例：
1. 月份現在是用報名時間歸納 -&gt; 要改為使用課程的開始日期歸納報名人員
2. 取消、退費、委員報名、折價券這種會變成0元的都要過濾掉
3. 有些報名狀態是 - 不知道是什麼意思</t>
  </si>
  <si>
    <t>匯入的學分課程檔案，收據寫入資料庫的值必須預設為false，否則後續會出現產出收據問題</t>
  </si>
  <si>
    <t>課程的匯出的Excel，如果遇到具委員身分但選一般身分繳費的話
委員那欄還是顯示"是"，所以會導致會務誤會
正確應該要顯示"否"</t>
  </si>
  <si>
    <t>報表模組-洗錢不足報表-選擇112年未達,名單裡面出現了廢止的會計師,例如孟廣源,王金蘭....等</t>
  </si>
  <si>
    <t>楊智,王紳,薛錞,謝醒醉---已廢止卻還出現事務所名稱</t>
  </si>
  <si>
    <t>直接處理資料面</t>
  </si>
  <si>
    <t>報表模組-洗錢不足報表-選擇112年未達,112年再次執業,但洗防時數不足的名單沒有出現.例如:馬慧真.傅政凱</t>
  </si>
  <si>
    <r>
      <rPr>
        <rFont val="Arial"/>
        <color theme="1"/>
      </rPr>
      <t>學分編輯--查詢馬慧真.傅政凱113年度 ,都是112年</t>
    </r>
    <r>
      <rPr>
        <rFont val="Arial"/>
        <b/>
        <color theme="1"/>
      </rPr>
      <t>再次執業</t>
    </r>
    <r>
      <rPr>
        <rFont val="Arial"/>
        <color theme="1"/>
      </rPr>
      <t>,但他112年進修時數及洗防時數不足,卻沒有出現不足的提醒符號.</t>
    </r>
  </si>
  <si>
    <r>
      <rPr>
        <rFont val="Arial"/>
        <color theme="1"/>
      </rPr>
      <t xml:space="preserve">進修時數登記表列-基礎查詢-許朝嘉-列印年度113年--這張表的下方"非專教會時數"的應補時數顯示4 ,但應該顯示為0.
</t>
    </r>
    <r>
      <rPr>
        <rFont val="Arial"/>
        <color rgb="FFFF0000"/>
      </rPr>
      <t>**持績進修登計表:應補時數,專教會時數可以優先補給非專會時數,  .</t>
    </r>
    <r>
      <rPr>
        <rFont val="Arial"/>
        <color theme="1"/>
      </rPr>
      <t xml:space="preserve">
(1)以20為建議時數 , 7,(專)13 (非專), 例:目前時數 12(專)-  0(非專), 可以把多的5個 時數 , 放給非專的時數 , 故此例 , 非專應補時數 為8 
(2)以20為建議時數 , 7,(專)13 (非專), 例:目前時數 12(專)-  9(非專), 可以把多的5個 時數 , 放給非專的時數 , 故此例 , 非專應補時數 為0
(3)以40為建議時數 ,14,(專)26 (非專), 例:目前時數 19(專)- 0(非專), 可以把多的5個 時數 , 放給非專的時數 , 故此例 , 非專應補時數 為21
(4)以40為建議時數 ,14,(專)26 (非專), 例:目前時數 19(專)- 22(非專), 可以把多的5個 時數 , 放給非專的時數 , 故此例 , 非專應補時數 為0
</t>
    </r>
    <r>
      <rPr>
        <rFont val="Arial"/>
        <color rgb="FFFF0000"/>
      </rPr>
      <t>**報表模組-"年度學分數明細""持續進修時數不足"也要配合更改調整</t>
    </r>
  </si>
  <si>
    <t>原住民族名相關調整
目前系統姓名欄位可以容納255個字元,(只有授權用戶50個字元),
目前會員執業登記,非執業會員,助理人員姓名輸入部分,是可以輸入英文中文混合的內容.
授權用戶:僅能輸入正常中文姓名,無法輸入英文中文混合的內容.
凌群表示後續如有需要修改含測試約一週工時.
但凌群提及因為還要考慮姓名變更的資料是會串到地方公會,且五公會資料是串一起的,所以會影響到其他公會收據、印鑑證明,標籤列印等都會受到影響,所以這些功能都還要做對應功能調整
※ 先以20字為目標塞得進去</t>
  </si>
  <si>
    <t xml:space="preserve">麻煩請協助抽換8/5台中上午.下午課程的pdf檔案，謝謝
8/5上午https://member.roccpa.org.tw/TACCTG/event/detail/3458#
8/5下午https://member.roccpa.org.tw/TACCTG/event/detail/3459#
請幫忙抽換如附件的檔案(同一個檔案)
 </t>
  </si>
  <si>
    <t>舊資料移轉至新系統內容有誤: 
明達合署:109年遷址至:台北市大同區西寧北路70-1號4樓
新系統事務所地址確是:  台北市松山區南京東路4段77號5樓之1
經查明達合署舊系統資並無 台北市松山區南京東路4段77號5樓之1</t>
  </si>
  <si>
    <t>2023/12月有一批到職,離職通過的公文主旨, 沒有照其申請的內容產出,需要資料面調整</t>
  </si>
  <si>
    <t>線上:F126006295會計師, 申請會員異動, "公發簽證變更"
顯示:儲存成功:  1)沒有異動紀錄 2)公開發行狀態,公文日期,文號 均為空白 
資料如下:准銷, 執行日期113/07/04 動日期113/07/04 金管證塞字第1130349292號 異動原因公發核准</t>
  </si>
  <si>
    <t>地方公會匯出的課程活動內容格式要是可以直接匯入全聯會的版本
寄給全聯會後，要可使用此內容匯入(非4條1的)</t>
  </si>
  <si>
    <t>新增會計師執業登記資料與非執業會員資料互相勾稽，例如非執業會員狀態正常情況下，會計師直接申請執業登記，變成兩種身分同時存在，建議執業登記登打資料儲存時(一樣可儲存)執業資料登打資料，但須要增加提醒執業會計師目前尚未退出非執業會員等字眼</t>
  </si>
  <si>
    <t>會費管理並沒有產出所有非執業正常/異常的會費
按了產會費結果出來的只有196 197 198，其他都沒有產出會費資料</t>
  </si>
  <si>
    <t>已重產，如果有哪些要清掉Q1或Q2的請我們協助處理</t>
  </si>
  <si>
    <t>助理人員送件二審通過時，沒有更新到提交時間</t>
  </si>
  <si>
    <t>非執業會員現在是退會的人，狀態都顯示"異常"而非退會
需要檢查、並且要多一個狀態的篩選器</t>
  </si>
  <si>
    <t>非執業會員的會費收據，會有null
且會費報表沒有正確紀錄退會金額
例如：先繳了全年的錢並且多繳1000，然後七月退會，退費應該是250+1000
但報表只記了1000沒有記到250</t>
  </si>
  <si>
    <t>非執業會員&gt;查詢&gt;林玉君
會員資料表，點記去之後沒看到上傳跟下載的按鈕
這個權限應該要再非執業會員的匯出、匯入上</t>
  </si>
  <si>
    <t>會員管理&gt;事務所月結管理
選勤業眾信，113/4，金額與事務所應收帳款明細(對的)不符
初步看應該是沒有過濾掉取消的人員
事務所月結管理只要留正常報名的(不需要取消、委員、退費、抵用券)→即實際上需要繳費的資料即可</t>
  </si>
  <si>
    <t>會計師異動項目:戶籍地異動，不管會計師有沒有事務所狀態，都應該要能變更</t>
  </si>
  <si>
    <t>1.學員學分編輯查詢--姓名或身分證查詢--楊于萱  選113年,查詢結果卻為空~  但他明明在113年度有進修資料的.
2.學員學分編輯查詢--查詢日期或課程名稱--課程名稱查詢  公司個人CFC解讀1  日期清空不要選,查詢結果共有69筆,但應該要有111筆,其他的都沒有出現.
3.學員學分編輯查詢--查詢日期或課程名稱--課程名稱查詢  公司個人CFC解讀1  ,日期選2024/3/28, 查詢結果卻為空,但應該是要跟第2點一樣有111筆.
4.學員學分編輯查詢--查詢日期或課程名稱--課程名稱查詢  CFC制度之修法重點  日期清空不要選,查詢結果共有41筆,但應該要有61筆,其他的都沒有出現.</t>
  </si>
  <si>
    <t>7/23 
1. 經查"楊于萱"113年資料均為非本人報到因此查詢時會被過濾掉，請再確認。
2. 同第一點問題，若沒將非本人報到資料過濾掉則查出111筆。
3. 修復中
4. 同第一點問題，若沒將非本人報到資料過濾掉則查出61筆。
send PR</t>
  </si>
  <si>
    <r>
      <rPr/>
      <t xml:space="preserve">匯入課程後，課程名稱有進去，但查學分登記表的時候
左側的日期都是錯誤的並非原本資料填的日期
</t>
    </r>
    <r>
      <rPr>
        <color rgb="FF1155CC"/>
        <u/>
      </rPr>
      <t>https://docs.google.com/spreadsheets/d/19iT0S-p4Kg2CBCdDZg4qKbsJc1sh3FSS/edit?usp=drive_link&amp;ouid=102713753116270709990&amp;rtpof=true&amp;sd=true</t>
    </r>
  </si>
  <si>
    <t>#無法重現</t>
  </si>
  <si>
    <r>
      <rPr>
        <rFont val="Arial"/>
        <color theme="1"/>
      </rPr>
      <t xml:space="preserve">授權用戶--匯入名單-- 為什麼匯入檔案裏面的名單資料沒進入系統裡的授權用戶清單,但這個人確有收到授權用戶通知信.例如孫惠玲
</t>
    </r>
    <r>
      <rPr>
        <rFont val="Arial"/>
        <b/>
        <color rgb="FFFF0000"/>
      </rPr>
      <t>**7/30新增補充:是否以後資料匯入完可跳出提醒視窗告知:已匯入完成且已寄發通知信</t>
    </r>
  </si>
  <si>
    <t>學員學分編輯查詢--查詢日期或課程名稱--課程名稱查詢  組織重組及企業合併交易之常見實務議題 日期清空不要選,查詢結果共有196筆,但應該要有197筆,洪振富沒有出現,(應該是因為沒有事務所的原因),所以這邊不能排除沒有事務所的人</t>
  </si>
  <si>
    <t>學分證明只允許四條一，所以匯入的四條三四五六七.九也不能顯示學分證明.(八要討論,匯入不行,那自行於系統建立的是否可以?)</t>
  </si>
  <si>
    <t>"正式區
8/21(線上視訊)IFRS2股份基礎給付及IFRS9、IFRS15、IFRS16重要議題
這一堂課在活動與課程沒有顯示
8/21(台中)勞動檢查-以資方角度探討(上午)
這一堂課卻出現2次
""不要用搜尋，用正常下一頁下一頁的方式看"""</t>
  </si>
  <si>
    <t>安卓黑頻的問題，每次上課都有至少10個客訴，請儘速解決</t>
  </si>
  <si>
    <t>與#469重複
預計7/29 送安卓審
改為滑掉視窗就要重新輸入帳密</t>
  </si>
  <si>
    <t>報名同一天上下午課程，前一天寄出的提醒信件，只會有一個QR CODE</t>
  </si>
  <si>
    <t>12/23 Dennis deployed</t>
  </si>
  <si>
    <t>課程重覆報到要跳一個提示"重覆報到"，按確認才進行覆蓋，取消則不動作</t>
  </si>
  <si>
    <t>一個課程QR CODE不同的人拿來報到，我們無法知道，只會蓋過去</t>
  </si>
  <si>
    <t>持續進修時數不足報表裡面,有的洗防不足的人卻沒有出現在持續進修不足的名單中~~(洗防時數不夠整個進修時數就是不夠)例如112未達-王鎮東.童宇彤.....等</t>
  </si>
  <si>
    <r>
      <rPr>
        <rFont val="Arial"/>
        <color theme="1"/>
      </rPr>
      <t xml:space="preserve">我的課程與活動只要顯示四條一的就好
</t>
    </r>
    <r>
      <rPr>
        <rFont val="Arial"/>
        <b/>
        <color rgb="FFFF0000"/>
        <sz val="11.0"/>
      </rPr>
      <t>*8/9 更正 應該是要顯示在e化系統裡面報名的課程</t>
    </r>
  </si>
  <si>
    <t>取消課程或是改期的課程，依然有寄如期開課的訊息通知</t>
  </si>
  <si>
    <t>報表模組-持續進修時數不足--希望報表檔案裏面增加身分證字號</t>
  </si>
  <si>
    <t>助理人員-會計師帳號-助理清單按鈕隱藏
補充:無權限者只能看到文字, 不需要超連結</t>
  </si>
  <si>
    <t>助理人員-事務所內清單狀態新增排序功能(目前是離職和任職混合顯示且無法變動順序，這樣不方便看資料
首頁/會員管理/事務所管理 -&gt; 助理人員清單狀態 請加排序功能</t>
  </si>
  <si>
    <r>
      <rPr>
        <rFont val="Arial"/>
        <color rgb="FF000000"/>
      </rPr>
      <t>9/11 Dennis</t>
    </r>
  </si>
  <si>
    <t>助理人員-事務所清單-頁數(10/20/30/50/100個/頁)這個功能沒有反應，但是總清單有反應</t>
  </si>
  <si>
    <r>
      <rPr>
        <rFont val="Arial"/>
        <color rgb="FF000000"/>
      </rPr>
      <t>9/11 Dennis</t>
    </r>
  </si>
  <si>
    <t>會員管理&gt;事務所管理&gt;登錄狀態&gt;核准
核准家數與報表模組&gt;各型態事務所家數數字有落差</t>
  </si>
  <si>
    <t>2025/01/09: Dennis deployed</t>
  </si>
  <si>
    <t>活動與課程如果按了編輯，課程清單會增加一筆
即便移除課程再保存，依然也會再增加</t>
  </si>
  <si>
    <t>後台排序變得很奇怪，完全沒有章法
之前剛編輯完的都會在最上層，現在順序都是亂的</t>
  </si>
  <si>
    <t>會籍入退會無法確實連動:
1.鄧惠琳會計師因學分不足執業登記被廢止了，省公會廢止此會員
全聯會會計師明細內並沒看到任何退出公會的紀錄，以及會籍還是完整存在，並沒有連動
2.顏世榮會計師/林章國會計師因過世，被台北市公會註銷會籍，全聯會明細內之異動紀錄，並無連動。
3.蔡文預會計師因過世，被臺灣省公會及台北市公會註銷會籍，全聯會明細內之異動紀錄，且還有會員資格，並無連動。
4.郭博廷會計師編輯儲存後依然無連動，目前狀態無會籍籍編號。
5.陳宇彤會計師編輯儲存後依然無連動，目前狀態無會籍籍編號。</t>
  </si>
  <si>
    <t>會計師報名後，繳費不成功也會收到報名成功信件與QR CODE，這樣會讓會計師誤解已經報名成功，造成會務人員與會計師的困擾，系統應該確實確認完成繳費才寄報名成功的信件</t>
  </si>
  <si>
    <r>
      <rPr>
        <rFont val="Arial"/>
        <b/>
        <color rgb="FFFF0000"/>
        <sz val="11.0"/>
      </rPr>
      <t>急!!</t>
    </r>
    <r>
      <rPr>
        <rFont val="Arial"/>
        <color theme="1"/>
      </rPr>
      <t>原539 麻煩先回復原狀,程式條件修改再作後續討論. (因為我們全聯會最近辦理很多四條八的課程)
1. "我的課程與活動"--應該是要顯示在e化系統裡面建立報名的課程,"舊系統倒入"以及現在"用excel匯入的學分"不要出現在這個部分.
2.這條修改時也要參考對應532
3.app部分後續也要記得調整.</t>
    </r>
  </si>
  <si>
    <t>會計師上完課學分莫名會變成有兩筆,例如8/7中華民國會計師公會全國聯合會-財經衡平論壇,蕭智蓉出現兩筆學分紀錄;8/1(台北)113上半年最新稅務法令與實務解析(上午)周怡欣,張慧文也是出現兩筆學分紀錄</t>
  </si>
  <si>
    <t>資料面有兩筆重複資料，清楚後就正常了
未來會用程式定時偵測後台處理</t>
  </si>
  <si>
    <t>1.會計師的學分應該是要上完課, 結束, 有報到, 才給學分.(講師跟學員都一樣). 例如 謝文益.9~10月 擔任講師的課程學分現在就都已經跑進去了.
2.如果課程取消,原本建立講師的學分是否還會匯入?  --&gt;不應該匯入</t>
  </si>
  <si>
    <r>
      <rPr>
        <rFont val="Arial"/>
        <color rgb="FF000000"/>
      </rPr>
      <t>9/11 Dennis</t>
    </r>
  </si>
  <si>
    <t>授權用戶匯入:
目前匯入檔案時,有出現匯入成功 但資料是沒有進去的(經查因為可能是匯入的名單已有重複或其他問題),所以希望可以調整如下:
1.若匯入檔案有十筆,其中有一筆出現錯誤,請匯入其他正確九筆,並跳出錯誤提醒.
2.匯入錯誤的提醒,請寫出是第幾筆出現錯誤,以及是甚麼狀況:例如此帳號已重複..或是格式錯誤..之類的</t>
  </si>
  <si>
    <t>新建課程，講師增生修改後，附件修改或刪除後不斷增生</t>
  </si>
  <si>
    <t>會計師報名，後台顯示同時間報名2次，但該會計師持QR CODE現場報到，顯示報名條碼不存在，也無法手動按報到</t>
  </si>
  <si>
    <t>此問題只能手動排除
後續會做一個通知器做維護告警</t>
  </si>
  <si>
    <r>
      <rPr>
        <rFont val="Arial"/>
        <color rgb="FFFF0000"/>
        <sz val="13.0"/>
      </rPr>
      <t xml:space="preserve">重要~因為目前只要系統課程建立時講師學分就會自動先入了.
</t>
    </r>
    <r>
      <rPr>
        <rFont val="Arial"/>
        <color theme="1"/>
      </rPr>
      <t xml:space="preserve">1.課程活動報名管理--&gt;新增課程--&gt;如果這堂課程的"進修項目"是"專教會核可之講習座談會"(4-8學分),那這堂課程的講師學分也只能入在4-8學分,而不是4-2學分.
例如:8/30(高雄)會計師防制洗錢及打擊資恐內部控制與稽核制度範本實務探討(認列洗錢防制時數)  ,講師:莊燿州  
         9/13(線上視訊)會計師防制洗錢及打擊資恐內部控制與稽核制度範本實務探討(認列洗錢防制時數) 講師:莊燿州  </t>
    </r>
  </si>
  <si>
    <t>10/23 16:40 Dennis 上版</t>
  </si>
  <si>
    <t>10/23 Dennis</t>
  </si>
  <si>
    <r>
      <rPr>
        <rFont val="Arial"/>
        <color theme="1"/>
      </rPr>
      <t xml:space="preserve">課程活動建立後,有些課程的講師資料會看不到,例如  9/13(線上視訊)會計師防制洗錢及打擊資恐內部控制與稽核制度範本實務探討(認列洗錢防制時數) 講師:莊燿州 
</t>
    </r>
    <r>
      <rPr>
        <rFont val="Arial"/>
        <color rgb="FFFF0000"/>
      </rPr>
      <t xml:space="preserve">正常的顯示:8/30(線上視訊)會計師防制洗錢及打擊資恐內部控制與稽核制度範本實務探討(認列洗錢防制時數) </t>
    </r>
  </si>
  <si>
    <t>08/27 Dennis:
9/13(線上視訊)會計師防制洗錢及打擊資恐...,
8/30(線上視訊)會計師防制洗錢及打擊資恐...
以上兩筆原本都看不到講師, 已協助修正資料
08/27 Dennis:
使用者修改完存檔依然會刪除講師資料...轉待修正
※本議題修正完畢佈版後, 要補講師資料, 除8/27確認的清單之外, 也要檢查8/27後的落差</t>
  </si>
  <si>
    <t>只有4-1課程會有委員學分(4-9),其他款項的學分都不會有委員這件事情. 例如8/7中華民國會計師公會全國聯合會-財經衡平論壇 ,林秀聰學分入到4-9</t>
  </si>
  <si>
    <t>09/25 Dennis上版</t>
  </si>
  <si>
    <t>9/25 Dennis</t>
  </si>
  <si>
    <t>APP收據跟學分證明要調整成看不到，只允許在web下載</t>
  </si>
  <si>
    <r>
      <rPr>
        <rFont val="Arial"/>
        <color rgb="FF000000"/>
      </rPr>
      <t>9/11 Dennis</t>
    </r>
  </si>
  <si>
    <t>手機用網頁進入系統--課程活動報名管理--&gt;我的課程與活動--&gt;看不到"學分登記表列印"這個功能</t>
  </si>
  <si>
    <t>目前取消報名的狀態，如果拿著之前報名成功的QR code，仍然會發生可以報到的狀況導致寫入錯誤的報到資料</t>
  </si>
  <si>
    <t>"事務所預查"--同一個名稱可以只出現一筆就好嗎?(不管曾經被申請過幾次,在這個地方只要現在有的事務所名稱,只需要出現一筆就好)
 在"事務所登錄預查"那邊才需要呈現所有的申請紀錄.</t>
  </si>
  <si>
    <t>王盈雁</t>
  </si>
  <si>
    <t>多一個檢查非執業事務所的統編，若是此統編的收據，抬頭要特殊處理</t>
  </si>
  <si>
    <t>有兩筆發文資料, 因同事誤選而造成"發文型態"有誤, 請協助將"全聯會三字第"修改為"全聯會字第"</t>
  </si>
  <si>
    <t>統編99801088, 與統編 17715352, 事務所清單匯出之資料筆數與系統上顯示的人數有少許落差. 請協助處理.</t>
  </si>
  <si>
    <t>請協助調整四堂課程(#5238,#5239,#5240,#5241)的講師(吳鳳琴)介紹內容</t>
  </si>
  <si>
    <t>請協助補齊豐業聯合會計師事務所的助理"林韋潔"之任職資料</t>
  </si>
  <si>
    <t>助理人員-新增-事務所線上key的附件會跑到助理人員清單內，收文那邊就沒有，應該是要事務所key的再公文審核後到公文內</t>
  </si>
  <si>
    <t>請協助處理"ESG衍生之專業服務"課程的學分資料, 與刪除#5274,#5275兩堂課重複匯入的資料</t>
  </si>
  <si>
    <t>請協助處裡"吳x福"在"9/5(台北)如何建置有效的洗錢防制與資恐防制制度(認列洗錢防制、董事時數)"課程無法報到的問題</t>
  </si>
  <si>
    <t>助理人員XA00099148 黃子安, 居留證號須調整為B880006833, 請協助處理</t>
  </si>
  <si>
    <r>
      <rPr>
        <rFont val="Arial"/>
        <color theme="1"/>
      </rPr>
      <t xml:space="preserve">新增第6條與NO.548一同處理會籍連動問題:
1.鄧惠琳會計師因學分不足執業登記被廢止了，省公會廢止此會員
全聯會會計師明細內並沒看到任何退出公會的紀錄，以及會籍還是完整存在，並沒有連動
2.顏世榮會計師/林章國會計師因過世，被台北市公會註銷會籍，全聯會明細內之異動紀錄，並無連動。
3.蔡文預會計師因過世，被臺灣省公會及台北市公會註銷會籍，全聯會明細內之異動紀錄，且還有會員資格，並無連動。
4.郭博廷會計師編輯儲存後依然無連動，目前狀態無會籍籍編號。
5.陳宇彤會計師編輯儲存後依然無連動，目前狀態無會籍籍編號。
</t>
    </r>
    <r>
      <rPr>
        <rFont val="Arial"/>
        <b/>
        <color theme="1"/>
        <sz val="13.0"/>
      </rPr>
      <t>6.會計師入會→退會→重新入會，二次執業的會計師入會日期顯示第一次的入會日而不是最新的入會日，會籍編號無誤顯示新的會籍編號。</t>
    </r>
  </si>
  <si>
    <t>事務所經辦/會計師謄打助理資料時，如果沒上傳任何一個附件，在保存時彈出一個視窗要使用者上傳一整包附件，否則不可存檔，後續送件就以此包附件進行</t>
  </si>
  <si>
    <t>用經辦帳號登入後，點選助理人員送件，會出現錯誤視窗</t>
  </si>
  <si>
    <t>請協助撈取類似565的狀況清單人數與系統顯示會有落差情形的內容 例如:徵征聯合 17715352 (張家蓉</t>
  </si>
  <si>
    <r>
      <rPr/>
      <t xml:space="preserve">目前如果課程收費不是一千，會有一些報表錯誤(如日結單，請注意以下邏輯)
1. 課程收費金額有可能不是一千，故日結單、收入、月結等數據資料都要以實際收費為準(目前月結請款單是對的)
2. 若課程費用不是一千，則不可使用抵用券
3. 若課程費用不是一千，一樣可以進行委員報名(免費)
目前這堂課300元，所以日結單會錯
</t>
    </r>
    <r>
      <rPr>
        <color rgb="FF1155CC"/>
        <u/>
      </rPr>
      <t>https://member.roccpa.org.tw/TACCTG/event/detail/5175#</t>
    </r>
  </si>
  <si>
    <t>匯聯會計師事務所助理人員A230xxx891 曾x彣 第三個字 系統中目前為問號, 請協助修正為正確的彣</t>
  </si>
  <si>
    <t>學分編輯按鈕目前遇到兩個狀況
1. 選擇年度，出現所有的年度
2. 驚嘆號顯示成當年度
正確應該如下規則
篩選113時
出現 該會計師113年的資料清單
但驚嘆號計算 112年未達</t>
  </si>
  <si>
    <t>9/18: Dennis deploy to PROD
9/23: Dennis deploy to PROD</t>
  </si>
  <si>
    <t>9/23佈版</t>
  </si>
  <si>
    <t>請協助刪除同仁陳婷婷重複建立的兩筆發文資料</t>
  </si>
  <si>
    <t>請協助刪除發文資料"謹訂定本會第13屆理事會..."</t>
  </si>
  <si>
    <t>請協助補回F229416688 這位助理人員的歷程資料, 並更名為"郭瀞文"</t>
  </si>
  <si>
    <t>請協助將B113000061簽呈退回上一步給承辦人</t>
  </si>
  <si>
    <t>請協助調整"廖龍暉"的身分證號為A880049837</t>
  </si>
  <si>
    <t>請協助將E223639855 名字更改為張嫚芸</t>
  </si>
  <si>
    <t>調整完畢</t>
  </si>
  <si>
    <t>「sendCommitteeType、receiveCommitteeType」要新增(1)ESG永續發展委員會、(2)聯誼委員會, 無法新增成功</t>
  </si>
  <si>
    <t>建立完畢</t>
  </si>
  <si>
    <t>請協助將下列課程“活動標題”加上(認列董事時數): #5170, #5157, #5268, #5276</t>
  </si>
  <si>
    <t>新增系統代碼時, 會出現新增失敗的訊息</t>
  </si>
  <si>
    <t>調整完畢, 原因是該表的序列群編號異常</t>
  </si>
  <si>
    <t>事務所新增內，選擇名稱的下拉選單現在太多了，要過濾如果是未設立的事務所或是未完成更名才能在清單內</t>
  </si>
  <si>
    <t>#1012延伸
驚嘆號的顯示沒有正常運作，似乎還有甚麼狀況會導致錯誤
例如：許力文會顯示112年不足，但他是112年首次執業照理說112不需要檢查
同理陳郁欣，陳依依，吳仲遠
另外學分編輯不要出現學分數為0的部分</t>
  </si>
  <si>
    <t>請盤點所有全聯會會計師
有地方公會資料但沒有被寫進全聯會member資料庫的數據並更新上
例如 周淑媛會計師，正常應該要是省公會 4980，但沒有寫進全聯會資料庫，同時按編輯也未更新
請用DB script直接大範圍更新</t>
  </si>
  <si>
    <t>10/4 upeate所有全聯會狀態為1,5,6,10之會員的地方公會會員編號資訊</t>
  </si>
  <si>
    <t>已撰寫script針對全聯會狀態為1,5,6,10之會員, 將各地方公會之會員編號回寫至member相關欄位</t>
  </si>
  <si>
    <t>事務所管理&gt;助理人員清單
匯出離職時
如果再歷史資料該員助理曾經離職，匯出Excel應該要包含此筆
例如 曾在A,B,C所離職，在ABC匯出離職清單時都要包含此筆</t>
  </si>
  <si>
    <t>講師學分部分---在報表模組的:"進修資料明細"跟"年度學分數明細",裡面的資料還是會把尚未發生的課程日期的講師學分放進去.例如:謝文益---尚未發生的課程日期學分資料都不應該放進系統</t>
  </si>
  <si>
    <t>請協助調整 #5247,#5248,#5249,#5250,#5251,#5252,#5253七堂課程的標題/子標題與注意事項</t>
  </si>
  <si>
    <t>請協助調整黃淑惠助理人員的服務歷程資料 9/24:需再補一筆</t>
  </si>
  <si>
    <t>有參與"ESG衍生之專業服務"課程的會計師, 報表都能看到學分, 但是進入學分編輯都無法看到該筆資料</t>
  </si>
  <si>
    <t>確認後, 發現該筆課程的event_apply未產生, 除了索取先前匯入的檔案測試外, 已手動補完相關資料, 已可編輯</t>
  </si>
  <si>
    <t>請協助取消某筆學員報到資料, 該筆資料為誤觸報到產生</t>
  </si>
  <si>
    <t>請協助刪除一筆發文(內容更改須重簽)，謝謝您。</t>
  </si>
  <si>
    <t>刪除發文</t>
  </si>
  <si>
    <t>洗錢不足報表-選擇112年度未達--裡面出現113年度才執業的人--盧文聰,黃樹傑
*然後一堆很古老的廢止名單還是會出現,例如孟廣源.王金蘭....等</t>
  </si>
  <si>
    <t>11/6 Dennis deployed to PROD</t>
  </si>
  <si>
    <t>11/06 Dennis</t>
  </si>
  <si>
    <t>(一)9/13(線上視訊)會計師防制洗錢及打擊資恐內部控制與稽核制度範本實務探討(認列洗錢防制時數)
“劉峻玄”誤植報到成功，請協助系統更改為”未報到”
(二) 9/13(線上視訊)會計師防制洗錢及打擊資恐內部控制與稽核制度範本實務探討(認列洗錢防制時數)
同事在建立課程時學分種類設定為其他,但這堂課是洗錢防制的,可以麻煩協助更改為”洗錢防制”,另外因為這堂課學分已都已經入進去了,可能要麻煩協助確認這個部分更改後,學分是否也有跟著調整為洗錢防制的時數</t>
  </si>
  <si>
    <t>電子報管理- 信件主題-查詢,這個功能無法正常使用</t>
  </si>
  <si>
    <t>助理人員審核時, 郭副祕審核後未回到預期的承辦人員, 仍停在郭副祕身上.</t>
  </si>
  <si>
    <t>Dennis 9/30: 從歷程資料來看
盈雁大約在9/16點選這筆一審  
不過因為當下帳號尚未加入設定
公文處理的授權清單還沒有該帳號
系統怕文漏勾  所以承辦掛副祕身上
已協助調整給盈雁</t>
  </si>
  <si>
    <t>部分重複文號的處理, 請協助暫調文號進行上傳檔案與結案.</t>
  </si>
  <si>
    <t>蔡佩君會計師的帳號, 修改密碼會出現錯誤.</t>
  </si>
  <si>
    <t>該會計師進錯公會系統</t>
  </si>
  <si>
    <t>委員的任期期限應包含報名之課程的日期，例如本屆期限為8/30，某委員8/1要報名9/10的課程，那時間已非委員，理論上不能適用，因此在報名時就應該限制並告知這個日期您已非委員</t>
  </si>
  <si>
    <t>12/30 Dennis deployed</t>
  </si>
  <si>
    <t>我的課程與活動看不到資訊了，不管web或是APP</t>
  </si>
  <si>
    <t>資料面問題</t>
  </si>
  <si>
    <t>請協助刪除作廢一個重複發文</t>
  </si>
  <si>
    <t>目前經手2件 `簽呈` 都發生同樣情況，我將覆核後的簽呈點給另一位同事，系統裡的承辦人就改變了，依正常簽核流程，不應該會發生承辦人在公文簽核中被改變，麻煩協助更正</t>
  </si>
  <si>
    <t>調整完畢, 因為目前系統中公文的承辦人當過程中 如果有指派給跟承辦人同位階的人的話, 承辦人就會被後面指派的蓋掉</t>
  </si>
  <si>
    <t>全聯會會員管理把會計師設定廢止時，sys_com_user.enable要切到false
並且已經廢止的會計師，要可以被設定授權用戶(現在會跳出已經是會計師的視窗於是被禁止)</t>
  </si>
  <si>
    <t>您好，能否協助將此堂課程會員費用改為"0"，謝謝您
https://member.roccpa.org.tw/TACCTG/event/detail/3548#</t>
  </si>
  <si>
    <r>
      <rPr>
        <color rgb="FF1155CC"/>
        <u/>
      </rPr>
      <t>https://member.roccpa.org.tw/TACCTG/event/detail/5242#</t>
    </r>
    <r>
      <rPr/>
      <t xml:space="preserve"> 又發生有兩批人學分數為0</t>
    </r>
  </si>
  <si>
    <t>經確認, 又為學分重複所造成, 待下次佈版後會有通知功能給凌群, 後續會主動發現並處理</t>
  </si>
  <si>
    <t>非執業會員：曾渼鈺
還是沒有收到授權用戶通知信
emilytseng0306@gmail.com</t>
  </si>
  <si>
    <t>改成我們的信箱, 修改密碼後是可以正常收到通知信件, 請盈雁再看看sendgrid歷程</t>
  </si>
  <si>
    <t>學分登記表列印--基礎查詢跟進階查詢如果都查詢113年  資誠聯合,一個出現152頁,一個出現127頁~ 落差吳偉豪.江采燕.劉倩瑜.白淑蒨.劉美蘭.王玉娟.徐建業.吳松源.王駿凱.田中玉.林永智.葉芳婷.鮑敦川.陳筱娟.賴志維.徐惠榆.蔣承翰.張舒淳.施松伯</t>
  </si>
  <si>
    <t>#1097
合併#712處理</t>
  </si>
  <si>
    <t>關於學分登記表上,如果是區間日期的課程,可否抓開始的那個日期來判別是否顯示在學分登記表上,以免因為結束日還沒到,導致學分沒有出現在學分登記表上.例如:劉鎣英8/1~12/31國立屏東科技大學授課
,曾俊達9/1~12/31雲林科技大學授課</t>
  </si>
  <si>
    <t>學分登記表上會籍號碼的欄位,會出現已退會的會籍號碼,或是二次入會抓到舊的會籍號碼,例如林秀湄,俞安恬,高謂川</t>
  </si>
  <si>
    <t>地方公會的會員, 在會員異動時, 若是將會員進行 退會/註銷/廢止 (member_status分別改為2,3,4)時, 要將全練會端屬於該地方公會的入會日期與會員編號皆清空</t>
  </si>
  <si>
    <t>系統中會員入會日期,編號有的不是以會員最新資料與狀態呈現, 會造成業務上的執行困擾, 請修正</t>
  </si>
  <si>
    <t>今日已先針對目前所有會計師資料, 依照地方公會狀態修正: 
在籍中的 會有入會日 編號
(重複入會的取最新的一筆)
不在籍的 會清空入會日編號
※葉憶婷反應的歷程部分, 經確認不在新系統中, 會再看看舊系統DB怎麼匯入</t>
  </si>
  <si>
    <t>請協助修正一筆助理人員范x霖的學歷資料, 與新增一筆歷程</t>
  </si>
  <si>
    <t>已調整完畢</t>
  </si>
  <si>
    <t>煩請協助，將此收文11300001135號，退回至承辦人-王祥馨，</t>
  </si>
  <si>
    <t>這一堂課因為不小心按到發布，麻煩您幫我修改活動標題:
11/27(台中)「防制洗錢打擊資恐資武擴國際規範與國內法制」(認列董事時數)</t>
  </si>
  <si>
    <t>在"執業會員資料管理", 點選查詢清單中的"異動紀錄"按鈕所顯示出的異動歷程, 未能完整顯示在舊系統中所儲存的資訊(如: 修改地址, 沒顯示修改前與後的值), 請確認看看是否舊系統資料確實完整匯入, 還是在呈現上有需要調整的地方</t>
  </si>
  <si>
    <t>請幫我修改 O200xxx545 劉子筠, 將另一筆證號錯誤 0200xxx545 的助理人員歷程並回正確的證號歷程</t>
  </si>
  <si>
    <r>
      <rPr/>
      <t xml:space="preserve">幫修改活動標題..有２堂要改:
（台北上午）改成→（台中上午）
（台北下午）改成→（台中下午）
https://member.roccpa.org.tw/TACCTG/event/detail/5435#
</t>
    </r>
    <r>
      <rPr>
        <color rgb="FF1155CC"/>
        <u/>
      </rPr>
      <t>https://member.roccpa.org.tw/TACCTG/event/detail/5436#</t>
    </r>
  </si>
  <si>
    <t>請協助修改發文文號1130000753的發文日期
更改為10/21</t>
  </si>
  <si>
    <t>之前有一件因重覆發文~~~~目前還沒有刪掉~~~但發文號被我放進去了~~請幫刪掉此件(發文1130000786)</t>
  </si>
  <si>
    <t>請協助刪除一個文"關於臺灣嘉義地方法院民事庭，函請推派會計師擔任113年度司字第4號之檢查人，惠請 查照。"</t>
  </si>
  <si>
    <t>4月9日有一堂課，有一個會計師陳重成
他現在打來說他當天莤現場，但是我們沒有他的報到資料...請協助調整報名狀態為正確</t>
  </si>
  <si>
    <r>
      <rPr/>
      <t xml:space="preserve">這3堂課的標題，後面括號改成:
(認列洗錢防制、董事時數)
https://member.roccpa.org.tw/TACCTG/event/detail/5433#
https://member.roccpa.org.tw/TACCTG/event/detail/5434#
</t>
    </r>
    <r>
      <rPr>
        <color rgb="FF1155CC"/>
        <u/>
      </rPr>
      <t>https://member.roccpa.org.tw/TACCTG/event/detail/5432#</t>
    </r>
  </si>
  <si>
    <t>R222xxx332 這位助理出生年月日請幫我更改為63/03/25</t>
  </si>
  <si>
    <t>有件發文：非執業會員服務委員會第13屆第1次委員會議。
因指派人員選錯，請問是否可以幫我傳回給承辦人：王盈雁
謝謝~</t>
  </si>
  <si>
    <r>
      <rPr/>
      <t xml:space="preserve">課程建立後尚未發佈, 編輯時無法調整學分類別(之前可以), 如以下三筆無法設定"洗錢防制":
https://member.roccpa.org.tw/TACCTG/event/detail/5448#
https://member.roccpa.org.tw/TACCTG/event/detail/5447#
</t>
    </r>
    <r>
      <rPr>
        <color rgb="FF1155CC"/>
        <u/>
      </rPr>
      <t>https://member.roccpa.org.tw/TACCTG/event/detail/5446#</t>
    </r>
  </si>
  <si>
    <t>Dennis: 三筆資料已協助調整, 在北市公會UAT建立課程未發佈時也確實不能修改學分類別, 待跟Will確認為bug後, 轉派工修改</t>
  </si>
  <si>
    <t>請幫我修改助理人員資料
D221xxx817姓名更改為:王靖渝
N224xxx338姓名更改為:邱采晶
D222xxx834姓名更改為:蘇祺芸
R223xxx202生日更改為:72/7/11</t>
  </si>
  <si>
    <t>有一個發文因為過程中重複指派給另一個人辦人導致承辦人欄位被覆蓋為其他人, 請協助調整回原承辦人身上.</t>
  </si>
  <si>
    <t>10/16(高雄\)會計師執業應注意的洗錢態樣，稅務犯罪案例解析(本課程認列董事時數、洗錢防制時數)
莫秀全,麻煩協助更改為非本人</t>
  </si>
  <si>
    <t>請協助查詢一筆交易代碼9527142813914785, 看看這一筆是哪一堂課程</t>
  </si>
  <si>
    <t>發文"聯誼委員會第13屆第1次委員會議。"給理事長簽核後, 理事長智派給我, 卻又回到理事長身上</t>
  </si>
  <si>
    <t>已調整完畢 (memo: 異常歷程 355346)</t>
  </si>
  <si>
    <r>
      <rPr/>
      <t xml:space="preserve">有一堂課，學分種類可能誤植為洗錢，麻煩請幫我改成其他!
</t>
    </r>
    <r>
      <rPr>
        <color rgb="FF1155CC"/>
        <u/>
      </rPr>
      <t>https://member.roccpa.org.tw/TACCTG/event/detail/5180#</t>
    </r>
  </si>
  <si>
    <r>
      <rPr/>
      <t xml:space="preserve">請協助將活動延期:
原 活動標題「10/31(台北選修十二)或有、期後事項及關係人之查核、查核報告之撰寫」
改為「11/06(台北選修十二)或有、期後事項及關係人之查核、查核報告之撰寫」
https://member.roccpa.org.tw/TACCTG/event/detail/3512#
原 活動標題「10/31(台北全修十二)或有、期後事項及關係人之查核、查核報告之撰寫」
改為「11/06(台北全修十二)或有、期後事項及關係人之查核、查核報告之撰寫」
</t>
    </r>
    <r>
      <rPr>
        <color rgb="FF1155CC"/>
        <u/>
      </rPr>
      <t>https://member.roccpa.org.tw/TACCTG/event/detail/5258#</t>
    </r>
  </si>
  <si>
    <t>有會計師遇到，無法建立授權用戶問題，儲存時會跳出身分證字號錯誤，已先請會計師建一筆資料，請協助從後台修改身分證字號，資料如下，謝謝。
華盛會計師事務所
羅夙雅 Q220226143</t>
  </si>
  <si>
    <t>Q220226143確實規則不對
若這個人確實是這個證號
我還沒看到他們建立的資料
可以請他們先用Q220226140
我再幫他們調整</t>
  </si>
  <si>
    <t>AB兩堂不同日 同名稱
先匯A的名單a1
再匯B的名單b1
然後再匯A的名單a2
結果課程部分有擋下
說A課程重複了
但a2名單卻塞到B</t>
  </si>
  <si>
    <t>高</t>
  </si>
  <si>
    <t>已先協助刪除課程相關資料</t>
  </si>
  <si>
    <t>委員清單匯入有問題</t>
  </si>
  <si>
    <t>經確認結果, 由於部分資料的必填欄位未填寫, 電話欄位也因為設定了格式, 造成無法順利匯入</t>
  </si>
  <si>
    <t>遇到一個問題，楊貞瑜會計師登入帳號後，個人資料的信箱是chenyu.yang@crowe.tw，報名課程的時候，都會自動代入舊信箱chenyu.yang@crowehorwath.tw這個是什麼原因？</t>
  </si>
  <si>
    <r>
      <rPr>
        <rFont val="Arial"/>
        <color theme="1"/>
      </rPr>
      <t xml:space="preserve">會計師的信箱有兩處
一個是會員資料那邊
一個是帳號的信箱
各公會自己改信箱
系統會連帳號信箱一併改
但是地方公會改信箱
這信箱只有同步回全聯會的會員資料
不會覆蓋全聯會的帳號信箱
但是寄信是以帳號信箱寄送
※要改成同步時, 連sys_com_user信箱一起改
</t>
    </r>
    <r>
      <rPr>
        <rFont val="Arial"/>
        <color rgb="FFFF0000"/>
      </rPr>
      <t xml:space="preserve">※ 此項目上PROD後要再次確認各公會的同步情況有無落差
</t>
    </r>
    <r>
      <rPr>
        <rFont val="Arial"/>
        <color theme="1"/>
      </rPr>
      <t>12/30 Dennis deployed</t>
    </r>
  </si>
  <si>
    <t>委員會入檔案的資料都補好了，還是匯不進去...提供匯入的檔案參考</t>
  </si>
  <si>
    <t>已確認資料欄位的狀態未填寫所造成</t>
  </si>
  <si>
    <t>請協助調整一批助理人員的實際到職日期</t>
  </si>
  <si>
    <t>請協助補一名助理人員的歷程</t>
  </si>
  <si>
    <t>收文號：1130001245
此件承辦為：郭副秘，但由於我分文時分錯人，導致承辦人顯示為祥馨，請協助修改</t>
  </si>
  <si>
    <t>請協助抽換這個課程的附件資料
https://member.roccpa.org.tw/TACCTG/event/detail/5462#</t>
  </si>
  <si>
    <t>黃樹傑113年二次執業,但學分編輯裡面113年度前面竟然出現驚嘆號(表示有去判斷他112未達),但他112年是廢止狀態,根本不需要學分.</t>
  </si>
  <si>
    <t>taypay要查核我們消費情形，請我提供2筆交易資訊，請幫我查詢以下2筆丁單單號的資料，感謝
9527142391467640
9527142427516577</t>
  </si>
  <si>
    <t>9527142391467640
https://member.roccpa.org.tw/TACCTG/event/detail/3553
陳文彬
9527142427516577
https://member.roccpa.org.tw/TACCTG/event/detail/3591
楊開祥</t>
  </si>
  <si>
    <t>報表模組&gt;課程帳款明細
名稱查：9/13(台北選修六)應收款項及收入之查核
其他條件不用
查詢後數字不對，這堂課只有8個人卻顯示會計師8、助理8
請詳細確認會計師、助理、委員的計算方式
並確保人數與應收金額，要扣掉取消報名的</t>
  </si>
  <si>
    <r>
      <rPr>
        <rFont val="Arial"/>
        <color theme="1"/>
      </rPr>
      <t xml:space="preserve">首頁/課程活動報名管理/活動與課程管理
                在"匯入"課程與學分時, 調整允收的匯入格式如下:
                1.僅保留「報到」頁簽
                2.改完的「報到」頁簽:
                        移除"報到日期"欄位
                        加入「活動與課程」頁簽的"進修項目","活動日期S","活動日期E","學分數","學分種類"等五個欄位
                3.原本的「報到」頁簽:
                        移除掉的"報到日期"欄位, 值改抓"活動日期S"
                4.原本的「活動與課程」頁簽:
                        "活動標題","課程年度", "承辦單位"用「報到」頁簽的同名稱欄位的值
                        "講師欄位": 不重要, 空值即可
                        "講師學分": 改用以下規則判斷
                        </t>
    </r>
    <r>
      <rPr>
        <rFont val="Arial"/>
        <color rgb="FFFF0000"/>
      </rPr>
      <t>存入score的學分: 若"是否講師"欄位為"Y", 且"進修項目"為"4"或"5", 則存入的學分為"學分數"欄位x2, 否則為"學分數"的值</t>
    </r>
    <r>
      <rPr>
        <rFont val="Arial"/>
        <color theme="1"/>
      </rPr>
      <t xml:space="preserve">
                5.匯入時不再檢查相同課程名稱學分的規則, 原則上依照匯入的表每一筆就產一筆課程資料 但是為了預防重複匯入 請看6.
                6.同日,同課程名稱,同人,同學分的要擋下來,其他的要全部可以匯入. 這些重複的項目在最後一次顯示給使用者看有哪些資料重複.
</t>
    </r>
    <r>
      <rPr>
        <rFont val="Arial"/>
        <color rgb="FF34A853"/>
      </rPr>
      <t>※ 修改時要一併留意另一個bug:
首次塞進資料, 還沒有取號的資料只判斷到名稱
所以同樣課程的第二筆 , 同樣學分的第二筆 之類的
會被判斷到沒有id, 而無法新增資料
要再匯入一次才會把沒進去的資料再補齊</t>
    </r>
  </si>
  <si>
    <t>11/18 Dennis 轉 #1093
12/23 Dennis deployed
2025/01/09: Dennis deployed</t>
  </si>
  <si>
    <r>
      <rPr>
        <rFont val="Arial"/>
        <color theme="1"/>
      </rPr>
      <t xml:space="preserve">學分匯入跟學分編輯這兩個地方的判斷條件不一致, 導致在其中一處看到是兩個勾, 再另外一處的顯示卻是驚嘆號. 範例: 林卉娟
</t>
    </r>
    <r>
      <rPr>
        <rFont val="Arial"/>
        <color rgb="FF34A853"/>
      </rPr>
      <t>P.S. 是否為二次執業的關係呢?</t>
    </r>
  </si>
  <si>
    <t>11/18 Dennis 轉 #1094
12/23 Dennis deployed</t>
  </si>
  <si>
    <t>數發部要調查2000家會計師事務所~~是否存續/組織型態更名/註銷/其他~~~因家數太多了~~比對有困難，已將資料，請協助</t>
  </si>
  <si>
    <t>1.F228823250 孫媛郁
請幫我補上豐業聯合的資料
實際到職日 112/07/18
到職申報日期 112/11/01
到職核備日期 112/11/09
到職核備文號 全聯會三字第11200713號
到職收文文號 全聯會三字第11200713號
2.F229614611 翁曉菁
幫我學歷更改為 台北商業大學 會計資訊系
3.N225249696 鐘珮瑜
 這筆離職資料請幫我刪除
4.J1228866165 鄧仁揚 
身分證更改為 J122886165</t>
  </si>
  <si>
    <t>11/18 Dennis: 資料調整完畢</t>
  </si>
  <si>
    <t>期未到的課程部會顯示出來,那請問您現在能抓到有哪些嗎?</t>
  </si>
  <si>
    <t>11/18 Dennis: 已提供"20241118_目前(1118)未結束的課程"清單</t>
  </si>
  <si>
    <t>石敏惠的學分,3/28這堂他是113年3月28日的補回112年,那我在匯入格式裡面是寫2024的日期,但匯入後是有補回到112,可是在學分登記表上課程前面的(日期),這堂應該是要(113)3/28~3/28,這部分再麻煩幫我確認是否BUG或是我在匯入學分時不能直接填入我想要調整的年度?</t>
  </si>
  <si>
    <r>
      <rPr>
        <rFont val="Arial"/>
        <color theme="1"/>
      </rPr>
      <t>當取消報名時，系統會跳出一個「是否取消課程  取消後無法回復......」這個訊息可以改字嗎?
=&gt;"</t>
    </r>
    <r>
      <rPr>
        <rFont val="Arial"/>
        <color rgb="FFFF0000"/>
      </rPr>
      <t>是否確認要取消? 取消報名後，若有已繳費之款項，承辦人員會自動將款項退刷至您的信用卡帳戶中</t>
    </r>
    <r>
      <rPr>
        <rFont val="Arial"/>
        <color theme="1"/>
      </rPr>
      <t>"
※要再次提醒各公會使用者, 反應問題時, 尤其是步驟與訊息內容, 最好可以是實際上記錄的結果而非憑印象, 否則工程師不容易改對地方</t>
    </r>
  </si>
  <si>
    <t>11/18 Dennis 轉 #1095
12/23 Dennis deployed</t>
  </si>
  <si>
    <t>會員有未使用的有效抵用券, 但報名時卻沒有看到可以勾選(如:魏麗香會計師)</t>
  </si>
  <si>
    <t>11/18 Dennis 轉 #1096</t>
  </si>
  <si>
    <t>https://member.roccpa.org.tw/TACCTG/event/detail/5479# 這堂課程.可以協助把"授權用戶報名" 改成"是"嗎?</t>
  </si>
  <si>
    <t>可以改一下精(瑨)聯合會計師事務所&lt;&lt;&lt;&lt;那個框框是特殊字~~~可以協助修改嗎?因為他們看到是</t>
  </si>
  <si>
    <t>李金金/嘉威聯合會計師事務所他沒有會籍~~~舊系統是有的~~~轉到新系統就沒有會籍了</t>
  </si>
  <si>
    <t>查了一下兩邊公會資料
李金金在省公會的會籍
身分證號是F900xxx631
全聯會資料是AD0xxx3395
轉進來的資料好像就是這樣
因為比對的證號是不同的
所以系統不會認為是同一人
=&gt;請他們確認看看正確資料是哪個/有先補上省公會編號和入會日期\</t>
  </si>
  <si>
    <t>我同事有2個發文，但現在無論如何都找不到，我可以給你主旨，請你幫忙找嗎?
檢送本會「智庫服務委員會」113年11月6日第13屆第1次委員會議紀錄乙份
檢送本會「國際事務委員會」113年11月5日第13屆第1次委員會議紀錄乙份</t>
  </si>
  <si>
    <t>查無這兩筆資料</t>
  </si>
  <si>
    <t>可以幫我確認一下這個檔案,因為林玫君有同名同姓,但一個早已廢止,存在的是建智聯合這個,但是在學分表列印卻出現兩次林玫君,但其中一筆卻顯示"兆順會計師事務所",再麻煩協助確認一下,謝謝</t>
  </si>
  <si>
    <t>因為她所在的事務所統編"00971547"對出兩個事務所, 所以join出來會有兩批...已將兆順先改"00971547x"</t>
  </si>
  <si>
    <t>哈囉Dennis，不好意思，煩請 協助修改下列發文字號為1130000904，因稍早我的發文取903號但忘了儲存，並也電子公文交換出去了，煩請協助更正，謝謝您。</t>
  </si>
  <si>
    <t>請幫我將這堂課取消
https://member.roccpa.org.tw/TACCTG/event/detail/5476#</t>
  </si>
  <si>
    <t>陳朱佑會計師他是112年度再次執業,所以他112年是需要符合進修規範的 ,所以以進修時數登記表上,他應該是顯示未達.而非■不列 會計師持續進修時數標準
二次執業 但學分數夠的範例: 傅政凱  馬慧真</t>
  </si>
  <si>
    <t>將正確的首次執業日期放入後就正常了</t>
  </si>
  <si>
    <t>麻煩一下~~~此文有兩個檔案重覆函稿，請協助刪除，謝謝! "有關施博文............."</t>
  </si>
  <si>
    <t>進修時數登記表列印--進階查詢--查詢安侯建業聯會計師事務所,出現的報表中,有些人的課程明細會不見了~~~(如:周寶蓮), 但用姓名直接查有出現, 大批的就會有人的不見</t>
  </si>
  <si>
    <t>11/26 Dennis 轉 #1098
12/23 Dennis deployed</t>
  </si>
  <si>
    <t>林玫君 建智聯合會計師事務所(台北分所) 公發撤銷已經異動了, 但會計師明細裡面還是核准</t>
  </si>
  <si>
    <t xml:space="preserve">系統在年初會依當下資料
寫入一筆設定檔案
看該名會計師 核准與否(公發)
但113年的資料(目前年度)是核准的狀態
而今天輸入的撤銷異動是去年的資料
所以只有112年資料被改掉
11/27 Dennis 轉 #1099
2025/2/26 Dennis deployed
</t>
  </si>
  <si>
    <t>發文文號1130001298因為同仁操作太快，點成結案。
請問是否可以協助將這份公文修改為「未結案」，然後流程點回承辦人：宋美慧，『刪除』辦理結果文字。</t>
  </si>
  <si>
    <t>林香如&amp;石淯伶</t>
  </si>
  <si>
    <t>今天又有一個會計師無法報到, 條碼正常但掃描時是出現"條碼不存在"</t>
  </si>
  <si>
    <t>2024-11-13 10:17:00.050 取消
2024-11-13 10:17:23.115 繳款 
狀態才又變繳款成功
有可能是報名完後
顯示線上繳費視窗
但是他太久沒繳費
所以被系統取消了
結果他又剛好繳費完</t>
  </si>
  <si>
    <t>陳謙慧　她有最近都有上課，可是她在使用者管理　卻找不到她了</t>
  </si>
  <si>
    <t>從歷程來看 我猜是這樣
她之前職業過 後來停了
所以從舊系統轉來的資料
只有會計師會員資料
但是沒有她的系統帳號
後來她擔任助理期間
會計師替她開了授權用戶
所以她一值是用授權用戶
登入系統去報名上課
正常來說  助理轉會計師
開始執業的時候
你們在會員資料管理建檔
會檢查授權用戶 把她停用
然後新建立帳號資料
但是她的資料特別
是會員資料已經存在
所以你們沒有辦法從會員資料建
也就不會有補會員帳號這段
這是因為她是二次執業
舊系統轉來時沒她帳號
所以才發生的
目前先手動建立帳號
※後面可能要檢視學分問題</t>
  </si>
  <si>
    <t>可以幫我查這2筆訂單是不是會計師重複報名同一堂課程嗎？
Tappay訂單號碼
9527143339410748
9527143335487902</t>
  </si>
  <si>
    <t>在報名資料的繳費, 完全找不到這筆的繳費編號, 但在[action_log]確實可以看到兩次繳款歷程: 249109/310635 所以是她前面一次繳費後沒有等回應視窗, 就關閉...沒有回寫狀態, 後來又繳一次
Lisa: 對，她有說系統顯示授權中，等了很久沒轉到成功頁面就先關掉視窗，跟第2次刷卡操作中間間隔大概5~6分鐘</t>
  </si>
  <si>
    <t>請協助調整十三筆事務所ley到分所的助理人員資料</t>
  </si>
  <si>
    <t>因為事務所key錯, 所以歷程(會變另外一筆), 離職的要併回到職那筆, 到職的也要改事務所</t>
  </si>
  <si>
    <t>王慕凡113年核准公開發行資格, 但學分部分113年是採非公發標準才對</t>
  </si>
  <si>
    <t>12/02 Dennis 轉 #1100
12/23 Dennis deployed</t>
  </si>
  <si>
    <t>王慕凡相關核准公開發行資料的歷程有誤, 請協助調整</t>
  </si>
  <si>
    <t>(公發簽證變更異動時, 異動前的狀態為"R"但顯示是空白: 全聯會正式區[member_log] id=58216)
12/23 Dennis deployed</t>
  </si>
  <si>
    <t>請協助調整四筆事務所ley到分所的助理人員資料</t>
  </si>
  <si>
    <r>
      <rPr>
        <color rgb="FF1155CC"/>
        <u/>
      </rPr>
      <t>https://member.roccpa.org.tw/TACCTG/event/detail/5401#</t>
    </r>
    <r>
      <rPr/>
      <t xml:space="preserve"> 課程, 第十頁某筆資料以下學分數為0</t>
    </r>
  </si>
  <si>
    <t>經確認, 係該筆資料學分數重複造成, 先前有設定警示功能提醒工程師處理, 惟學分資料是今天產生, 明天才會警示處理</t>
  </si>
  <si>
    <r>
      <rPr>
        <color rgb="FF1155CC"/>
        <u/>
      </rPr>
      <t>https://member.roccpa.org.tw/TACCTG/event/detail/5403#</t>
    </r>
    <r>
      <rPr/>
      <t xml:space="preserve"> 課程, 為何報到完畢仍無法列印學分證明</t>
    </r>
  </si>
  <si>
    <t>經確認, 必須要課程時間結束後方能列印...此堂課結束時間後已確認確實可列印學分</t>
  </si>
  <si>
    <t>麻煩協助調整11/27這堂課程"學分種類" 改成洗錢防制, 目前是設定成其他</t>
  </si>
  <si>
    <t>P223xxx367 高珮淳
F227xxx259 郭品萱
這兩位助理因是回任
事務所幫他們補報舊筆資料離職
匯入時跑去新的一筆資料內
請幫我修改 感謝</t>
  </si>
  <si>
    <t>https://member.roccpa.org.tw/TACCTG/event/detail/5434#
https://member.roccpa.org.tw/TACCTG/event/detail/5432#
這2堂也都要改成事洗錢防制</t>
  </si>
  <si>
    <r>
      <rPr/>
      <t xml:space="preserve">可以幫忙看一下，為什麼這堂課的經手人沒有壓章嗎？
</t>
    </r>
    <r>
      <rPr>
        <color rgb="FF1155CC"/>
        <u/>
      </rPr>
      <t>https://member.roccpa.org.tw/TACCTG/event/detail/5341#</t>
    </r>
  </si>
  <si>
    <t>經確認, 由於此堂課的建立者是"吳亭頤", 而這個使用者沒有經手章圖檔, 因此在香如同意之下, 將這堂課 建立者改為香如姐</t>
  </si>
  <si>
    <t>E124xxx073姓名請幫我更改為蘇景瑜
請幫我補上R221xxx558的資料(林秀儒)</t>
  </si>
  <si>
    <t>不好意思,我剛剛有mail一個檔案,可以幫我看一下是甚麼情況為什麼我人一直匯不進去?</t>
  </si>
  <si>
    <t>已請工程師確認完畢, 是頁簽名稱多了空格</t>
  </si>
  <si>
    <r>
      <rPr/>
      <t xml:space="preserve">麻煩幫我刪掉這堂課程所有資料,人跟課程都刪
 </t>
    </r>
    <r>
      <rPr>
        <color rgb="FF1155CC"/>
        <u/>
      </rPr>
      <t>https://member.roccpa.org.tw/TACCTG/event/detail/5974#</t>
    </r>
  </si>
  <si>
    <t>112年度舊系統的學分資料,尚未完全搬至新系統裡面,再麻煩確認.</t>
  </si>
  <si>
    <r>
      <rPr>
        <rFont val="Arial"/>
        <color theme="1"/>
      </rPr>
      <t xml:space="preserve">黃更佳.蕭雅文.鄒依芸.吳佳翰.楊雲筑.高鈺倫都是113年度首次執業,以及在113年核准公開發行資格,但是因為一般在核准公發的那個(113)年度,在學分標準上是視為非公發標準,所以在"進修時數登記表"上的 是□  否■ 公開發行公司簽證會計師,應該要為"否".
</t>
    </r>
    <r>
      <rPr>
        <rFont val="Arial"/>
        <color rgb="FFFF0000"/>
      </rPr>
      <t>**關於這個問題,"進修時數登記表"上的公發狀態及建議時數是錯的,但是報表模組-"年度學分數明細",產出的報表裡面的建議時數卻是對的,所以可能也要麻煩協助確認不同區塊產出資料的一致性.例如王慕凡.趙書含.</t>
    </r>
  </si>
  <si>
    <t>目前公文簽核過, 會記錄簽核的時間, 然而在之後指派時, 不會重新更新簽核的時間, 會造成流程上的漏洞: ，早上c指派到a身上，但a實際作業是在下班後，隔日a點出公文，在流程表中卻無法如實show出c指派公文時間，a實際處理送出公文時間</t>
  </si>
  <si>
    <t>學分表格上面的文字有問題, 要修正:
3.的分母要改為"學分", 4.的分子要改 2進修小時, 7.的分母要改為"1000字"</t>
  </si>
  <si>
    <r>
      <rPr>
        <color rgb="FF1155CC"/>
        <u/>
      </rPr>
      <t>https://member.roccpa.org.tw/TACCTG/event/detail/5983#的近ㄒㄧ</t>
    </r>
    <r>
      <rPr/>
      <t xml:space="preserve">  的進修項目與時數設定錯誤, 請協助修正</t>
    </r>
  </si>
  <si>
    <t>請協助調整某比助理人員證號</t>
  </si>
  <si>
    <t>全聯會&gt;預查功能
查詢"福計"出來的結果會怪怪的，沒有福的音也沒有計的音的結果
但改成用福記就正常，感覺是計的問題</t>
  </si>
  <si>
    <t xml:space="preserve">吳忠君會計師這堂課已經刷卡繳費且已報到，想改成使用抵用券，請問是要先請你幫她改成未報到+我幫她取消退款，再重新幫她報名讓她上去點選抵用券嗎？
請幫我取消她的（吳忠君）報到
</t>
  </si>
  <si>
    <r>
      <rPr>
        <color rgb="FF1155CC"/>
        <u/>
      </rPr>
      <t>https://member.roccpa.org.tw/TACCTG/event/detail/5472#</t>
    </r>
    <r>
      <rPr/>
      <t xml:space="preserve">
有一個呂品蓉會計師，可以幫我變更為"未報到"嗎?</t>
    </r>
  </si>
  <si>
    <t>助理人員全聯會三字第1130000706 
原本是key在台中分所
可以幫我把資料移到主所嗎
歷程也需要改</t>
  </si>
  <si>
    <t>有會計師反應用手機開系統網頁,課程活動管理這邊都是空白的,我剛也有試過,確實這邊功能都是空白的.</t>
  </si>
  <si>
    <t>憑證更新後正常</t>
  </si>
  <si>
    <t>這兩位助理目前還是任職中
但系統顯示離職 請幫我修改
蔡佩倫、黃英哲</t>
  </si>
  <si>
    <t>昨日使用撤回功能，在我操作這份文撤回後，承辦人變成是我了!!!! 請問這是系統的另一種bug嗎?</t>
  </si>
  <si>
    <t>報表模組-年度收據明細
匯出的D欄要為民國年(現在是西元年)</t>
  </si>
  <si>
    <t>異動紀錄雖然有舊資料，如果要查以前會計師或事務所變更前的資料，是查不出來的</t>
  </si>
  <si>
    <t>課程活動報名管理-活動與課程管理-印花稅查詢-日期區間-11/1~12/31
匯出會發現有些價格不是1000的課程被混再一起
導致報表匯出後數字出現733的怪事情</t>
  </si>
  <si>
    <t>關於"匯入"表單裡面的進修項目4.5 ,講師欄位Y 但學分進入後沒有*2</t>
  </si>
  <si>
    <r>
      <rPr>
        <color rgb="FF1155CC"/>
        <u/>
      </rPr>
      <t xml:space="preserve">https://member.roccpa.org.tw/TACCTG/event/detail/3267#
</t>
    </r>
    <r>
      <rPr/>
      <t>以4/9這堂課為例，前台及匯出名單皆將已取消報名之月結事務所會計師，計入報名成功人數，導致報名人數錯誤，目前檢查課程都有這個問題
匯出時就算有退款時間也會變報名成功</t>
    </r>
  </si>
  <si>
    <t>1/14 Dennis deployed</t>
  </si>
  <si>
    <t>報表模組〉》課程帳款明細〉》區間113/6/1~113/6/30
1. 應收金額≠會計師(報名成功)+委員(報名成功)
→應排出委員
2.6/27(台中下午)基礎二、認識碳權交易機制應收金額應為54000，此堂課並無委員上課，委員人數應為0
找到這堂課匯出名單資料
https://member.roccpa.org.tw/TACCTG/event/detail/3335#
月結8000(其中一人有退款資料，實際應為7000)
信用卡45000
現金20003
小計55000</t>
  </si>
  <si>
    <t>2025/02/05 Dennis deployed to PROD</t>
  </si>
  <si>
    <t>匯入課程學分後顯示的清單, "進修項目"欄位沒有正確顯示, 目前只顯示"-"...
處理此項目時, 請留意是匯入時都會發生, 還是只有特定課程....如果是特定課程,要同時確認 課程活動報名管理&gt;活動與課程管理&gt;學員學分編輯 清單會不會有一樣的情形</t>
  </si>
  <si>
    <t xml:space="preserve">1/14 Dennis deployed
1/6: 在uat測試匯入時, 沒顯示"進修項目"的學分資料, 初步看欄位是都有塞, 是顯示上問題的機率比較大, 這部分還是要請Jeff確認 </t>
  </si>
  <si>
    <t>請幫修改H225xxx163 姓氏更改為黃
&amp;補上補上F228xxx125的資料(許華倩)
@大亞聯合會計師事務所</t>
  </si>
  <si>
    <t>1/10 Dennis調整完畢</t>
  </si>
  <si>
    <t xml:space="preserve">因金管會業務需要，請依援例提供檔案如下，感謝配合
CSV檔、TXT文字檔(執業會計師名單其中有亂碼的部分再麻煩更正，文字編碼的部分，請用UTF 8的編碼)
需要的內容 :身分證字號、姓名
範圍: 沒有廢止執業登記的會計師
</t>
  </si>
  <si>
    <t>已提供</t>
  </si>
  <si>
    <t>執業會員資料管理&gt;會員異動&gt;公發簽證資料打進去出現修改失敗~~
文號: 金管證審字第1140330594號 核准  執行日、公文日同一天114/01/09
公發核准</t>
  </si>
  <si>
    <t>轉#1160單</t>
  </si>
  <si>
    <t>790 結案備註請幫我打 結案112.12.27-11200790
791 結案備註請幫我打 結案112.12.27-11200791
792 結案備註請幫我打 結案112.12.27-11200792
793 結案備註請幫我打 結案112.12.27-11200793</t>
  </si>
  <si>
    <t>已調整</t>
  </si>
  <si>
    <t>課程在委員的任期內要可以報名，但現在會反而跳出不能報名</t>
  </si>
  <si>
    <t>"活動與課程管理"的匯入:
1. 目前匯入會直接擋下現在狀態是"廢止"的人的課程, 要調整為: 目前廢止的人, 其廢止日前的學分要可匯入, 只擋下廢止日後的學分.
2. 目前匯入到某筆發生錯誤時, 會直接顯示空白清單而沒有適當的訊息, 嘗試調整顯示出第幾筆資料發生錯誤.</t>
  </si>
  <si>
    <t xml:space="preserve">
2025/2/26 Dennis deployed
</t>
  </si>
  <si>
    <t>"活動與課程管理"的查詢:
目前進修時數登記表列印, 無法找到廢止人員的資料, 應該要調整"只印核准"時 要可以到("執業登記")廢止的</t>
  </si>
  <si>
    <t xml:space="preserve">
2025/2/26 Dennis deployed
</t>
  </si>
  <si>
    <t>需要針對黃美慈、黃宜婷、朱天慈三位離職人員的公文進行結案</t>
  </si>
  <si>
    <t>1130000636 黃美慈這個公文無法結案，因為要至少經過到副祕才能開啟結案按鈕
請先用離職帳號轉給副祕 -&gt; 指回離職帳號
剩下宜婷可以結案的公文有拉到離職帳號身上了</t>
  </si>
  <si>
    <t xml:space="preserve">煩請協助提供
113/01/01~113/12/31廢止會計師事務所之資料(事務所名稱、負責人、廢止日期)
113/01/01~113/12/31廢止會計師之資料(會計師姓名、身份證字號、廢止日期)
</t>
  </si>
  <si>
    <t>請幫我修改
A227013577吳函恩 改名為吳佳芸</t>
  </si>
  <si>
    <t>麻煩您協助將這堂課，"何淑芬"會計師報到狀態調成未報到，謝謝~
https://member.roccpa.org.tw/TACCTG/event/detail/6607#</t>
  </si>
  <si>
    <t>38900868
這間事務所要改為啓</t>
  </si>
  <si>
    <r>
      <rPr/>
      <t xml:space="preserve">否麻煩您，有一堂臺中同事建立的課程，發布日期跟開始報名日期，要改成現在
</t>
    </r>
    <r>
      <rPr>
        <color rgb="FF1155CC"/>
        <u/>
      </rPr>
      <t>https://member.roccpa.org.tw/TACCTG/event/detail/9498#</t>
    </r>
  </si>
  <si>
    <t>有一個檔案無法正常匯入, 請協助確認原因</t>
  </si>
  <si>
    <t>主要是現在檢查到有問題的資料就會跳出不處理, 上次發生的是已廢止的會員, 今天遇到的是有0學分的, 會一併修改</t>
  </si>
  <si>
    <t>報表模組&gt;各型態事務所家數
script 的寫法 家數是錯的
正確要的結果
根據查詢日期，查這段時間還沒有被註銷的事務所(用日期檢查不要用狀態)各自的型態
且聯合事務所或合署事務所如有分所只能算主所的數量</t>
  </si>
  <si>
    <t>"公發資格資料,功能修正:
1.會員異動 進行公發資格的廢止或核准時, 只有補當年度的設定, 應該要往後續年度(直至系統目前年度)去補...
2.例如: 
　補110年的核准=&gt; 若110年後續沒有廢止, 110年要上""Y"" (若沒有110年, 要新增)
　依序補後續年度至114年為止...若有"</t>
  </si>
  <si>
    <t xml:space="preserve">轉#1195,#1196
2025/12/07 補完psl跟mem的狀態
2025/2/26 Dennis deployed
</t>
  </si>
  <si>
    <t>"活動管理&gt;電子報管理&gt;新增寄送資料&gt;會員挑選
點下去後空白無反應，應該要出現會員清單供勾選才對(北市就正常)"</t>
  </si>
  <si>
    <t>針對null例外做處置</t>
  </si>
  <si>
    <t>我要整筆匯入課程報名表
早上的匯入沒問題，同一個檔案，下午的那堂課要匯入就出現問題，請幫我看看</t>
  </si>
  <si>
    <t>活動名稱是
"3/5(台中下午)營所稅申報要點及疑義解析"
但提供的是"3/20(台北下午)營所稅申報要點及疑義解析"
所以無法匯入</t>
  </si>
  <si>
    <t>https://member.roccpa.org.tw/TACCTG/event/detail/6606#
這一堂課，有一個葉熹蓉
請幫我取消報到，感謝</t>
  </si>
  <si>
    <t>已清除</t>
  </si>
  <si>
    <t>江政豪會計師113年學分表的前兩筆都出現(112)   應該是(113)才對</t>
  </si>
  <si>
    <t>舊資料轉移問題，已處理</t>
  </si>
  <si>
    <r>
      <rPr/>
      <t xml:space="preserve">今天有一位會計師反應
報名一次，輸入卡號，密碼，被扣2筆金額
</t>
    </r>
    <r>
      <rPr>
        <color rgb="FF1155CC"/>
        <u/>
      </rPr>
      <t>https://member.roccpa.org.tw/TACCTG/event/detail/9492#</t>
    </r>
  </si>
  <si>
    <t>協助處理tappay問題
要再埋log</t>
  </si>
  <si>
    <t>全聯會字第1130000158號
結案pdf的第一頁，與結案簽收表讀出來不一樣
後者讀錯張了</t>
  </si>
  <si>
    <t>我要匯入113年的優惠券，檔案匯入之後，竟然是很多倍的量</t>
  </si>
  <si>
    <t>經確認應該是多按了幾次
功能正常
後續再優化界面避免誤會</t>
  </si>
  <si>
    <t>這位非執業會員，剛key資料時身分證的英文打錯，請協助修改，謝謝您</t>
  </si>
  <si>
    <t>已處理</t>
  </si>
  <si>
    <t>林琬琬、陳富煒、吳惠蘭、陳君滿、蕭翠慧
以上5位為非執業會員，已經不是會計師，變更授權用戶mail時顯示錯誤，請協助處理</t>
  </si>
  <si>
    <t>DOOOOOOO2 吳佩瑄
請幫我把姓名更改成吳珮瑄
然後他在建昇財稅聯合04131779的資料移至高雄分所92077455</t>
  </si>
  <si>
    <t>學分編輯現在甚麼都不能查了</t>
  </si>
  <si>
    <t>昨天我有一個發文呈核時出現異常現象，目前主委告知無法核准，請問該如何處理，謝謝。</t>
  </si>
  <si>
    <t>我剛剛匯入一堂課,但我沒看到承辦人把日期的年度打錯...但已經會進去了~~~
https://member.roccpa.org.tw/TACCTG/event/detail/18431#
應該是2025/1/17</t>
  </si>
  <si>
    <t>已協助排查未匯入的並調整時間</t>
  </si>
  <si>
    <t>學分編輯查詢姓名, 但如果這個人的學分有系統設置的講師學分,學分編輯這邊就查不到</t>
  </si>
  <si>
    <t>沒認真看到承辦人亂寫
https://member.roccpa.org.tw/TACCTG/event/detail/18110#
進修項目應該是八</t>
  </si>
  <si>
    <t>助理人員：施紹承，名字key錯，正確為：施「邵」承，再請協助修正，謝謝</t>
  </si>
  <si>
    <t>如果有房間時，會出excel會有欄位移位</t>
  </si>
  <si>
    <t>二次執業的當年度，在持續進修報表與洗錢不足報表裡面沒出來</t>
  </si>
  <si>
    <t>王怡文 113專教不足但洗防足
查114現在卻是兩個都打勾，應該要 ! V</t>
  </si>
  <si>
    <t>進修小時登記表&gt;進階查詢
選113年未達-未入公會,連114才執業的也會跑出來：徐維廷 李漢生
或是114年二次執業的  再跑113不足的學分表也會 例如 林芳如</t>
  </si>
  <si>
    <t>"日結單：
event_id =9266 
信用卡應該只有314筆
但日結單寫出來315筆"</t>
  </si>
  <si>
    <t>因為這位會計師從助理變成會計師,113年他有進修課程,現在要申請時數證明,再麻煩您協助將這些課程補入會計師學分,謝謝您~</t>
  </si>
  <si>
    <t>依中華電信要求調整網頁設定檔</t>
  </si>
  <si>
    <t>日結單格式微調
1.日結單的數字要加comma
2.底下製表，覆核，副祕這些字改成跟上面信用卡結存字一樣大
3.日結單的學員人數，要包含使用抵用券的學員人數；應收金額總金額要包含抵用券金額</t>
  </si>
  <si>
    <t>tappay有2筆查核的金流
請幫我查查是哪一堂課的誰?</t>
  </si>
  <si>
    <t>9527150494112060是 
3/20(台北上午)營所稅申報要點及疑義解析
id 9266
9527150667112418是
4/10(台北下午)營所稅申報要點及疑義解析
id 9491
第一筆是黃靖純
第二筆是施世卿</t>
  </si>
  <si>
    <t>蘇惠瓊-眾信聯合
請協助修正
1.到職日：88/7/26
2.離職日：90/8/19
3.姓名：蘇「蕙」瓊
謝謝</t>
  </si>
  <si>
    <t>敬興聯合，助理，請協助修正
以上共7位請協助修改，第2~7位的狀態請一併改為離職</t>
  </si>
  <si>
    <t>已經結案的收文(1140000385)公文是否可以請您們在承辦情況的欄位再加註一段說明文字?謝謝
承辦情況的欄位文字如下，麻煩協助更新，謝謝您。
1.理事長已於4/2簽准，後續提報4/10會務工作報告後繳交114年度會費。
2.實際應繳交金額為1,013,500元(含入會費1000元)</t>
  </si>
  <si>
    <r>
      <rPr/>
      <t xml:space="preserve">有一位會計師，他同一堂課程刷了2筆費用
我想請你幫我確認一下應該退刷哪一筆
</t>
    </r>
    <r>
      <rPr>
        <color rgb="FF1155CC"/>
        <u/>
      </rPr>
      <t>https://member.roccpa.org.tw/TACCTG/event/detail/9491#</t>
    </r>
  </si>
  <si>
    <t>已回覆</t>
  </si>
  <si>
    <t>馬諺美居留證號請協助變更，謝謝您</t>
  </si>
  <si>
    <t>這2位助理人員的身分證號key錯，導致新增了一筆同名不同身分證號的資料，請協助將key錯的到職資料移至正確的資料中，並將錯誤的身分證資料刪除。
1.邱顯仁
正確：H125575971 
錯誤：H125575961
2.柯蕙欣
正確：F229275212 
錯誤：F22275212</t>
  </si>
  <si>
    <t>敬興聯合，共2筆，請協助修正
1.張鈺涵，到期日應為：91/10/1，核備日期：
91/10/15，核備文號：(北)市財二字第09132610100號
2.呂文惠，到期日應為：83/4/27，核備日期：
83/12/27，核備文號：八三財稅三字第089377號
說明：與事務所確認，雖然該欄位畫了一條線，但實際還是有申報，因為沒有蓋不符規定。</t>
  </si>
  <si>
    <t>何澤民會計師匯入課程時會有錯誤，請協助確認</t>
  </si>
  <si>
    <t>請協助修正助理人員資料
林奕廷，生日應為：87/03/31，學歷：政治大學會計學系</t>
  </si>
  <si>
    <t>此件發文請協助將承辦人換成離職帳號，謝謝</t>
  </si>
  <si>
    <t>李金金CPA居留證號已改, 但帳號還是原本證號, 請協助處理</t>
  </si>
  <si>
    <t>已協助調整</t>
  </si>
  <si>
    <t>活動課程管理&gt;優惠券
匯入檔案時，按鈕必須要鎖起來，等到上傳完成再打開
避免重複按</t>
  </si>
  <si>
    <t xml:space="preserve">Will &amp; Dennis早安:
再麻煩協助匯入新執業曾文誠會計師專教會學分,謝謝.
</t>
  </si>
  <si>
    <t>助理人員王銘義資料更新</t>
  </si>
  <si>
    <t>你好~~請協助耘薪&lt;&lt;&lt;這間事務所後面加上會計師事務所~~~只有他事務所名稱不完整
統編49888258</t>
  </si>
  <si>
    <t>助理王念慈 更新生日/學歷</t>
  </si>
  <si>
    <t>https://member.roccpa.org.tw/TACCTG/event/detail/19654#
剛剛有一個卓傳鎮會計師我看後台顯示尚未繳款，她說因為一直轉圈圈，但已經收到信用卡公司已經扣款
請你幫忙確認是怎麼回事?</t>
  </si>
  <si>
    <t>經查資料庫與Tappay確認資料正常，時間差問題</t>
  </si>
  <si>
    <t>電子報管理的關鍵字搜尋沒有作用</t>
  </si>
  <si>
    <t>紀嘉祐 113年度目前時數是不夠的,但在編輯那邊卻沒有出現不夠的驚嘆號</t>
  </si>
  <si>
    <t>轉內部單#1293</t>
  </si>
  <si>
    <t>請協助更新助理資料，謝謝</t>
  </si>
  <si>
    <t>因為這家事務所採用數位申報，我進入事務所要覆核時，已經連續當機2次，資料看到第5個人時滑鼠就無法往下滑，系統整個卡住+速度變慢，請協助查明原因，謝謝你們
統編：08627218</t>
  </si>
  <si>
    <t>報名活動時，會計師 emily@cheng.company會被阻擋郵件錯誤</t>
  </si>
  <si>
    <t>蘇興華會計師他的個人明細新北分事務所地址為更早之前，請更新成正確的</t>
  </si>
  <si>
    <t>匯入時，沒夾到excel名單，導致人數為0，請協助刪除這筆資料。
謝謝</t>
  </si>
  <si>
    <t>收文號:1140000705 承辦人不是我，是收文的人~~但他傳錯了~~公文到我這邊我還給他，但還是無法覆蓋,幫我修改承辦人</t>
  </si>
  <si>
    <t>請協助修改"7/22(台中)認識都市更新及實施方式"為"8/6(台中)認識都市更新及實施方式"</t>
  </si>
  <si>
    <r>
      <rPr/>
      <t>請協助將"</t>
    </r>
    <r>
      <rPr>
        <color rgb="FF1155CC"/>
        <u/>
      </rPr>
      <t>https://member.roccpa.org.tw/TACCTG/event/detail/22937#</t>
    </r>
    <r>
      <rPr/>
      <t>"報名學員都移除</t>
    </r>
  </si>
  <si>
    <t>註銷的會計師重新執業~~任執事務所異動無法登錄~~~</t>
  </si>
  <si>
    <t>經查確認是該事務所統編打錯</t>
  </si>
  <si>
    <t>陳淑玲會計師想要新增授權用戶
新增時按儲存後跳出「使用者名稱錯誤」</t>
  </si>
  <si>
    <t>使用正式機同會計師可正常運行
應是user error</t>
  </si>
  <si>
    <t>麻煩協助匯入新執業會計師專教會學分,謝謝.</t>
  </si>
  <si>
    <t>已完成</t>
  </si>
  <si>
    <t>活動課程管理&gt;印花稅查詢
匯出報表的日期，目前是繳費日期，調整為活動的結束日期在查詢範圍內的收據才出來</t>
  </si>
  <si>
    <t>請協助更新資料，謝謝
助理廖尹慈</t>
  </si>
  <si>
    <t>誤建立會計師資料 幫我把崇實聯合會計師事務所(板橋分所)這筆刪掉是同一個人</t>
  </si>
  <si>
    <t>陳惠君-請協助修正生日及學歷
THE UNIVERSITY OF NEW SOUTH WALES
科系:MASTER OF PROFESSIONAL ACCOUNTING</t>
  </si>
  <si>
    <r>
      <rPr>
        <rFont val="Arial"/>
        <color theme="1"/>
      </rPr>
      <t>今日結算五六月課程費用的印花稅, 金額與報名人數似乎有出入, 請結束釐清
Dennis. 經釐清後, 金額總計沒有問題, 但目前匯出的邏輯, 單月初會只抓到活動結束日在前兩個月且已繳費產收據的金額, 若是事後才月結繳費的金額在下一輪也不會抓出來, 會有漏
=&gt; 結論: 程式要調整 例如抓 7/1~8/31的印刷稅時, 除了依目前邏輯要抓活動結束日在這個範圍內且已繳費有產收據(且未退費)的金額項目外</t>
    </r>
    <r>
      <rPr>
        <rFont val="Arial"/>
        <color rgb="FFFF0000"/>
      </rPr>
      <t>, 要再增加  活動結束日在5/1~6/30(更前面兩個月), 且繳費日期在7/1~8/31的項目</t>
    </r>
  </si>
  <si>
    <t>轉內部單排程修改</t>
  </si>
  <si>
    <t xml:space="preserve">再麻煩協助匯入新執業會計師專教會學分,謝謝.
(資誠及安永各四位,共8位)
</t>
  </si>
  <si>
    <t>可以幫我把這位「許秝浤」會計師改成未報到的狀態嗎？謝謝
https://member.roccpa.org.tw/TACCTG/event/detail/19653#</t>
  </si>
  <si>
    <t>請協助將這筆資料併入正確的身分證號，謝謝
助理：陳銘吉
並刪除錯誤的</t>
  </si>
  <si>
    <t>請幫忙，有一堂課，一個會計師要修改成未報到
https://member.roccpa.org.tw/TACCTG/event/detail/13710#
陳惠君</t>
  </si>
  <si>
    <t>再麻煩協助匯入一位新執業會計師專教會學分,謝謝.</t>
  </si>
  <si>
    <r>
      <rPr/>
      <t xml:space="preserve">有一堂課有一位會計師，請幫忙恢復成未報到
</t>
    </r>
    <r>
      <rPr>
        <color rgb="FF1155CC"/>
        <u/>
      </rPr>
      <t xml:space="preserve">https://member.roccpa.org.tw/TACCTG/event/detail/22433#
</t>
    </r>
    <r>
      <rPr/>
      <t>彭裕峰</t>
    </r>
  </si>
  <si>
    <t>稍早有一位「黃民澤CPA」用平板採用事務所網路登入，及用手機使用手機Wi-fi，登入E化系統，頁面皆是反灰底無任何課程，請問這該如何處理，謝謝您。</t>
  </si>
  <si>
    <t>經查是SSL憑證設定方式不同導致憑證鍊不被iOS信任，調整後已修復</t>
  </si>
  <si>
    <t>#150延伸
月結結清時不要去壓0元的金額</t>
  </si>
  <si>
    <t>報表管理&gt;年度學分數明細
鄭伃婷 114年首次執業,所以114不需符合學分,所以他的建議時數與應補時數都應該是0
系統產出的時數登記表是對的,但報表匯出--"年度學分數明細"的部分,出來的建議時數還是顯示7</t>
  </si>
  <si>
    <t>關收文1140000823號，本案流程尚未跑完，承辦人-王祥馨，誤將此收文「結案」，煩請 協助，謝謝您。</t>
  </si>
  <si>
    <t>修正助理名字郭正彥為郭治禾</t>
  </si>
  <si>
    <t>因發文「全聯會三字第1140000390號」已結案，承辦人-黃歆茹，結案時將文字打至備註欄位，故結案欄位空白，目前結案系統已鎖住無法再進行修正，謝謝您。</t>
  </si>
  <si>
    <t>調整開放重新結案</t>
  </si>
  <si>
    <t>可以幫我把李佑民 114年的學分搬到109年嗎?  
因為學分編輯看不到（目前是廢止狀態，要補完學分才能重辦執業）</t>
  </si>
  <si>
    <t>以麻煩幫我確認一下收文1140000851的流程嗎
記錄怪怪的</t>
  </si>
  <si>
    <t>https://member.roccpa.org.tw/TACCTG/event/detail/22768#
這一堂課，有一個許惠虹，請幫我調整為"尚未報到"</t>
  </si>
  <si>
    <r>
      <rPr/>
      <t xml:space="preserve">我有一堂課，因今天高雄停班，我的課程要修改標題
</t>
    </r>
    <r>
      <rPr>
        <color rgb="FF1155CC"/>
        <u/>
      </rPr>
      <t>https://member.roccpa.org.tw/TACCTG/event/detail/21272#</t>
    </r>
  </si>
  <si>
    <t>進修時數登記表列印—進階查詢—選擇114年度—安侯建業聯合會計師事務所, 
產出的114年安侯建業學分報表,
陳政學,跟李䄱儀的課程明細又不見了
※跟之前發生過的問題#667一樣</t>
  </si>
  <si>
    <t>轉內部#1376</t>
  </si>
  <si>
    <t>年底課程經常額滿，所以額滿的課程還是要顯示出來，否則會員會反彈</t>
  </si>
  <si>
    <t>轉內部#1377</t>
  </si>
  <si>
    <t>您好，請協助修正助理人員資料，正確資料如下，謝謝
姓名：陳俞亘
學歷：朝陽科技大學 
科系：企業管理系</t>
  </si>
  <si>
    <t>因金管會業務需要，請依援例提供檔案如下，感謝配合
CSV檔、TXT文字檔(執業會計師名單其中有亂碼的部分再麻煩更正，文字編碼的部分，請用UTF 8的編碼)
需要的內容 :身分證字號、姓名
範圍: 沒有廢止執業登記的會計師
時間114/6/30 前</t>
  </si>
  <si>
    <t>您好，請協助修正助理人員資料，正確資料如下，謝謝
1.姓名：李冠慧I20xxxxx67
學歷：逢甲大學
科系：會計系
2.姓名：吳麗芳
學歷：正修科技大學
科系：國際貿易系</t>
  </si>
  <si>
    <t>煩請協助，有位「徐維廷CPA」本會E化系統留的E-MAIL  bighead731024@gmail.com (正確的)，但app上的帳戶個人資料留的E-MAIL  Joseph.hsu@hwgroup.com.tw (錯誤的)，請問這該如何修正，謝謝您。</t>
  </si>
  <si>
    <t>剛剛有會計師打來說沒有看到收據下載的選單,我剛幫他確認真的沒有出現,可以麻煩協助處理一下,謝謝
07/25(台北)永續資訊揭露中重大性之考量(認列董事時數)
謝幸樹</t>
  </si>
  <si>
    <t>經查
該會計師報名時使用折價券所以不會有</t>
  </si>
  <si>
    <t>1. SYSCOM-針對所有公文清除結案與結案歷程
2. 會務 - 重新上傳每一份公文，並重新結案
收到Will通知措施1處理完成後，請執行2. 會務 - 重新上傳每一份公文，並重新結案。  此作業請優先辦理，處理完成後請回報結果，謝謝你。</t>
  </si>
  <si>
    <r>
      <rPr/>
      <t xml:space="preserve">請幫我把這個活動日期改成「2025-08-22 09:00→2025-08-22 12:00」，謝謝~
</t>
    </r>
    <r>
      <rPr>
        <color rgb="FF1155CC"/>
        <u/>
      </rPr>
      <t>https://member.roccpa.org.tw/TACCTG/event/detail/22451#</t>
    </r>
  </si>
  <si>
    <t>請幫我改這場活動標題跟日期，謝謝~
https://member.roccpa.org.tw/TACCTG/event/detail/22462#
修改如下
活動標題：10/03(台北選修八)應付、預付款項及費用之查核
發布日期：2025-05-12 00:00→2025-10-03 12:00
報名日期：2025-05-12 00:00→2025-10-02 12:00
活動日期：2025-10-03 09:00→2025-10-03 12:00</t>
  </si>
  <si>
    <r>
      <rPr/>
      <t xml:space="preserve">請幫我改這堂課的名稱跟說明，謝謝~！
名稱：09/18(線上)碳會計 GHG Protocol 概論與財務資訊的連結
</t>
    </r>
    <r>
      <rPr>
        <color rgb="FF1155CC"/>
        <u/>
      </rPr>
      <t>https://member.roccpa.org.tw/TACCTG/event/detail/23014#</t>
    </r>
  </si>
  <si>
    <t>08/22(台中)會計師事務所傳承策略(認列董事時數)
這一堂課程，產出的日結單，多了一個委員
我確認過名單中49人，沒有委員，日結單有49人跟1個委員，請幫忙看看，謝謝</t>
  </si>
  <si>
    <t>助理人員：李佩儒
離職登錄有誤，請協助將紅框的離職資料刪除</t>
  </si>
  <si>
    <t>請協助修正助理人員資料，正確資料如下，謝謝
姓名：楊覲綺
到職日期應為:103/3/17</t>
  </si>
  <si>
    <t>資誠會計師事務所-統編03932533
助理人員匯入時，誤匯入沒資料的excel，導致送出一筆人數為0的資料，再請協助將此筆資料刪除。</t>
  </si>
  <si>
    <t>https://member.roccpa.org.tw/TACCTG/event/detail/23000#
這一堂課，有一個邱義芳
他說他總共報名3堂課，刷了3筆，可是只有最後一筆成功</t>
  </si>
  <si>
    <t>會計師多開視窗繳到同一堂課了
9527152440088214
9527152440140747
退這兩筆繳款</t>
  </si>
  <si>
    <t>報表模組---"洗錢防制不足"可以幫我加上事務所電話嗎(包含區碼)? "持續進修時數不足"的電話麻煩協助加上區碼</t>
  </si>
  <si>
    <t>有會計師在反應，省公會的課程，已經報名的，在看的時候就顯示"已報名"
為什麼我們的課程沒有這樣的功能?
只有防呆機制(報名變灰色)</t>
  </si>
  <si>
    <t>公文結案完儲存沒有正確顯示未結案+指派人是自己的公文</t>
  </si>
  <si>
    <r>
      <rPr/>
      <t xml:space="preserve"> 請幫忙將這堂課的活動標題改成"11/17(台中)國家洗錢資恐及資武擴風險評估結果暨評鑑規劃(認列董事時數、洗錢防制時數)"
</t>
    </r>
    <r>
      <rPr>
        <color rgb="FF1155CC"/>
        <u/>
      </rPr>
      <t>https://member.roccpa.org.tw/TACCTG/event/view/23136#</t>
    </r>
  </si>
  <si>
    <t>此件公文承辦人1140001101請協助改為：王盈雁，謝謝</t>
  </si>
  <si>
    <t>北市公會廢止的A125046192
同步到全聯會後，異動紀錄沒正常顯示(Table有)
並且日期也沒有像退會依樣消失</t>
  </si>
  <si>
    <t>會計師鄭卉羽學分視窗出現大量重複</t>
  </si>
  <si>
    <t>我有一堂課程要修改標題，修改為:
11/19(線上Google meet)從徵才到解僱都不NG的雇主指南重點解析
 https://member.roccpa.org.tw/TACCTG/event/detail/23133#</t>
  </si>
  <si>
    <t>下列這2堂課的報名期限都改成現在
(也就是說我要取消這2堂的課程)
https://member.roccpa.org.tw/TACCTG/event/detail/23134#
https://member.roccpa.org.tw/TACCTG/event/detail/23135#</t>
  </si>
  <si>
    <t>請問學分編輯這邊日期選8/13,課程名稱  8/13(線上視訊)會計師防制洗錢及打擊資恐內部控制與稽核制度範本實務探討(認列洗錢防制時數&amp;4條8時數)
為什麼甚麼都跑不出來</t>
  </si>
  <si>
    <t>原因是因為原本的課程有個 &amp; 加上 某一位會計師資料有一個欄位缺資料空白
調整後就好了</t>
  </si>
  <si>
    <r>
      <rPr>
        <color rgb="FF1155CC"/>
        <u/>
      </rPr>
      <t xml:space="preserve">https://member.roccpa.org.tw/TACCTG/event/detail/23456#
</t>
    </r>
    <r>
      <rPr>
        <color rgb="FF000000"/>
      </rPr>
      <t>房型只要留一間單人跟一間雙人，多的那個移除</t>
    </r>
  </si>
  <si>
    <r>
      <rPr/>
      <t xml:space="preserve">請幫我改這堂課的活動標題跟名稱，改成＂【全聯會】114年度10月31日職業道德暨紀律研討會(認列職業道德時數及4條8時數)＂
</t>
    </r>
    <r>
      <rPr>
        <color rgb="FF1155CC"/>
        <u/>
      </rPr>
      <t>https://member.roccpa.org.tw/TACCTG/event/detail/23018#</t>
    </r>
  </si>
  <si>
    <t>因為承辦給我資料有誤,可以麻煩幫我把這堂課程刪掉,以及已匯入的學分資料也刪除嗎?謝謝
https://member.roccpa.org.tw/TACCTG/event/detail/23316#</t>
  </si>
  <si>
    <r>
      <rPr/>
      <t xml:space="preserve">這一堂課我要匯出名單，結果是一個我打不開的檔案
https://member.roccpa.org.tw/TACCTG/event/detail/22933#
https://member.roccpa.org.tw/TACCTG/event/detail/22935#
</t>
    </r>
    <r>
      <rPr>
        <color rgb="FF1155CC"/>
        <u/>
      </rPr>
      <t>https://member.roccpa.org.tw/TACCTG/event/detail/22934#</t>
    </r>
  </si>
  <si>
    <t>因為名稱有"."，調整掉就好了</t>
  </si>
  <si>
    <t>請協助補助理人員(王盈雅)E化系統的資料</t>
  </si>
  <si>
    <t>姓名郭宇安
學歷：宜蘭大學
科系：應用經濟與管理學系
助理請協助調整</t>
  </si>
  <si>
    <t>請協助補助理人員學歷、科系，謝謝
姓名：黃惠貞
學歷：崇右企專
科系：會統科</t>
  </si>
  <si>
    <t>本會精心規劃「投資公司稅務申報與登記實務」課程，授課內容豐富完整，敬請 會計師、助理人員及本會非執業會員踴躍報名。
請協助改全聯會字第</t>
  </si>
  <si>
    <r>
      <rPr>
        <rFont val="Arial"/>
        <color theme="1"/>
      </rPr>
      <t xml:space="preserve">#CR驗證 事務所地址字數太長會被截掉   需要最長字數的說明
請自動縮小字→ 其他關於太長的文字都比照處理(如公文、印鑑證明等)
</t>
    </r>
    <r>
      <rPr>
        <rFont val="Arial"/>
        <color rgb="FFFF0000"/>
      </rPr>
      <t>測試結果-事務所管理介面地址會自動縮小，但會員資料管理內的事務所地址，一樣無法顯示全部地址。</t>
    </r>
  </si>
  <si>
    <t>9/23 待覆驗</t>
  </si>
  <si>
    <r>
      <rPr>
        <rFont val="Arial"/>
        <color theme="1"/>
      </rPr>
      <t xml:space="preserve">#CR驗證  原住民族名相關調整    ※ 先以30字為目標塞得進去超過30個字就空白(以利手填)
</t>
    </r>
    <r>
      <rPr>
        <rFont val="Arial"/>
        <color rgb="FFFF0000"/>
      </rPr>
      <t xml:space="preserve">測試結果-1.學分登記表:一般查詢處可以完整顯示，但在進階查詢-有套印公文地址的學分表無法顯示姓名，而且在公文地址頁面，如果名字很長會自動換行但會蓋到地址。
                2.標籤列印小於30字也是產空白區塊需自行手寫。
</t>
    </r>
    <r>
      <rPr>
        <rFont val="Arial"/>
        <color theme="1"/>
      </rPr>
      <t xml:space="preserve">              </t>
    </r>
    <r>
      <rPr>
        <rFont val="Arial"/>
        <color rgb="FFFF0000"/>
      </rPr>
      <t xml:space="preserve">  3.非執業會員收據部分，30字以上會產留空白區塊要自行手寫，但手寫空間並無加大還是很小。</t>
    </r>
  </si>
  <si>
    <t>這一堂課目前有發現幾個人玩正報到，但沒有學分，學分0
https://member.roccpa.org.tw/TACCTG/event/detail/23131#</t>
  </si>
  <si>
    <t>助理人員：施雅方
舊系統有到職文號但沒有登錄到事務所名稱，提供事務所紙本資料佐證。
請協助新增此筆到職紀錄，謝謝
事務所名稱:眾智聯合會計師事務所
事務所統編：01016819
到職申報日期：95 年 9月 1 日
到職核備日期：95 年 10 月 16 日
到職核備文號：北市財菸字第09533008800
到職收文文號：北市財菸字第09533008800</t>
  </si>
  <si>
    <t>以下兩位助理人員資料修正
吳安綺
出生年月日：87年8月28日
學歷：中原大學
科系：會計系
曾麟楷
出生年月日：87年6月20日
學歷：政治大學
科系：會計系</t>
  </si>
  <si>
    <t>助理人員：王俐雅
舊系統有資料，E化沒有，請協助更新，謝謝您</t>
  </si>
  <si>
    <t>在匯入名單的時候有22個人的資料沒匯進去，請幫我看一下~
10/14(台北)企業併購與盡職調查(認列董事時數)
這堂課：https://member.roccpa.org.tw/TACCTG/event/detail/23252</t>
  </si>
  <si>
    <t>已提供符合資料庫編碼的資料</t>
  </si>
  <si>
    <t>省公會建立一個課程，進修項目建錯了，有得救嗎?
https://member.roccpa.org.tw/TACCTG/event/detail/23226#
應該要選4條1款的專教會講習會
建成4條8款的課程，這個課程已經完成了，結束了</t>
  </si>
  <si>
    <t>https://member.roccpa.org.tw/TACCTG/event/detail/23116#
收據沒有經手人章</t>
  </si>
  <si>
    <t>已調整creator為ts0616-roccpa</t>
  </si>
  <si>
    <t>這一堂課，有一個王群越，可以幫我改成未報到嗎?
https://member.roccpa.org.tw/TACCTG/event/detail/22927#</t>
  </si>
  <si>
    <t>助理人員：黃琦文，狀態正確應為-任職中
再請協助修正，謝謝</t>
  </si>
  <si>
    <t>助理人員：喻宗新
舊系統有資料，E化沒有，請協助更新</t>
  </si>
  <si>
    <r>
      <rPr/>
      <t xml:space="preserve">請幫我把這張圖放到下面這個活動的「活動封面圖檔」，謝謝(bow please)
</t>
    </r>
    <r>
      <rPr>
        <color rgb="FF1155CC"/>
        <u/>
      </rPr>
      <t>https://member.roccpa.org.tw/TACCTG/event/detail/23859#</t>
    </r>
  </si>
  <si>
    <t>以下2位助理人員資料修正
1.蕭婉怡
正確生日：87年9月23日
2.林彥良
學歷：中原大學
科系：會計系碩士</t>
  </si>
  <si>
    <t>助理人員-鄭昊
只有申請到職，離職被誤植入，請協助刪除"離職"的資料，狀態為-任職中，</t>
  </si>
  <si>
    <t>以下2位助理人員資料修正，謝謝
1.姓名：許晉?→許晉"滺"
2.翁綾慧
學歷：台中科技大學
科系：財政稅務系</t>
  </si>
  <si>
    <r>
      <rPr/>
      <t xml:space="preserve">這一堂課，有一個會計師說她重複刷了2筆費用我只看得到一筆訂單號碼，要請你幫忙看那一筆是有效的?那一筆要退刷?
</t>
    </r>
    <r>
      <rPr>
        <color rgb="FF1155CC"/>
        <u/>
      </rPr>
      <t>https://member.roccpa.org.tw/TACCTG/event/detail/23253#</t>
    </r>
    <r>
      <rPr/>
      <t xml:space="preserve">
訂單號碼
9527152862509290</t>
    </r>
  </si>
  <si>
    <t>已查詢回報</t>
  </si>
  <si>
    <t>以下3位助理人員資料修正，謝謝
1.大石浩司
身份證字號正確應為：A800***32「8」
2.李柏毅
到職日"112/8/22"那筆資料的離職請清除。
3.陳怡華
性別有誤，應為"女"</t>
  </si>
  <si>
    <t>"持續進修時數不足"報表, 在匯出113年不足的名單時, 出現了林麗凰(113/8月廢止),邱鑄山(109年廢止),都是廢止過,114年再次執業的,不應該出現在113年持續進修時數不足名單
Dennis: 已追溯並發現語法需微調處. 將盡速調整更新</t>
  </si>
  <si>
    <t>4月份部分收文查詢未結案會出現已結案公文</t>
  </si>
  <si>
    <t xml:space="preserve">關於非執委員聘書發文，E化點結案時顯示「發文號錯誤-請先進行取號」(如圖一)
由於目前尚未取號，請副祕裁示，是否可請凌群刪除這筆發文?
</t>
  </si>
  <si>
    <t>已說明提供刪除功能</t>
  </si>
  <si>
    <t>陳玟如會計師已經執行學分不足復執
但狀態沒有切為正常</t>
  </si>
  <si>
    <t>10/17 Will 先調整為正常狀態繼續確認
1/30更新</t>
  </si>
  <si>
    <r>
      <rPr>
        <rFont val="Arial"/>
        <color theme="1"/>
      </rPr>
      <t xml:space="preserve">#CR驗證  原住民族名相關調整    ※ 先以30字為目標塞得進去超過30個字就空白(以利手填)
</t>
    </r>
    <r>
      <rPr>
        <rFont val="Arial"/>
        <color rgb="FFFF0000"/>
      </rPr>
      <t>測試結果-1.授權用戶及助理人員-還是無法使用原住民姓名</t>
    </r>
  </si>
  <si>
    <t>以下4位助理人員資料修正，謝謝
1.陳立慈
生日：85年5月18日
學歷：東華大學
科系：會研所
2.陳思璇
生日：85年10月12日
學歷：國立中央大學
科系：企管系/財金系
3.陳姿妏
生日：88年03月22日
學歷：中原大學
科系：會計系
4.侯語謙
生日：87年07月21日
以上再請協助，謝謝</t>
  </si>
  <si>
    <t>以下2位助理人員資料修正，謝謝
1.何曼瑄
生日：87年09月18日
學歷：台北大學
科系：會計系
2.魏妤珍
學歷：東吳大學
科系：會計系
以上再請協助，謝謝</t>
  </si>
  <si>
    <t>此會計師(姜清木)曾經擔任過會計師~~~請協助刪除第一筆資料後~~~我在重新KEY IN</t>
  </si>
  <si>
    <t>補充資料移轉時未填入的部分事務所設立日期</t>
  </si>
  <si>
    <t>有一堂課程，已經結束了，才發現上課學分誤植，麻煩可否將這一堂修改為4小時
https://member.roccpa.org.tw/TACCTG/event/detail/23456#
10/22(宜蘭)114年度公司法暨公司登記實務講習會</t>
  </si>
  <si>
    <t>我剛剛在試用"複製課程"這個功能，然後就新增了一課，所以可以幫我把這一堂刪除嗎?
https://member.roccpa.org.tw/TACCTG/event/detail/23906</t>
  </si>
  <si>
    <r>
      <rPr/>
      <t xml:space="preserve">會計師說12/10這堂課沒辦法報名，點選我要報名後會變空白頁面，APP也是
</t>
    </r>
    <r>
      <rPr>
        <color rgb="FF1155CC"/>
        <u/>
      </rPr>
      <t>https://member.roccpa.org.tw/TACCTG/event/view/23905#</t>
    </r>
  </si>
  <si>
    <t>ChaoChi</t>
  </si>
  <si>
    <r>
      <rPr/>
      <t xml:space="preserve">會計師說12/5這堂課沒辦法報名，點選我要報名後會變空白頁面，APP也是，跟前天狀況一樣
</t>
    </r>
    <r>
      <rPr>
        <color rgb="FF1155CC"/>
        <u/>
      </rPr>
      <t>https://member.roccpa.org.tw/TACCTG/event/view/23903#</t>
    </r>
  </si>
  <si>
    <t>jeff</t>
  </si>
  <si>
    <t>複製的課程調整費用與報名時會出現問題</t>
  </si>
  <si>
    <t>此件收文請協助將承辦人換成離職帳號，謝謝
1140000463</t>
  </si>
  <si>
    <t xml:space="preserve">再麻煩協助匯入一位新執業會計師專教會學分,謝謝.
毛聖崴F127362630 
https://member.roccpa.org.tw/TACCTG/event/detail/23252#
</t>
  </si>
  <si>
    <r>
      <rPr/>
      <t xml:space="preserve">哈囉~現在會計師要報名12/9、12/10這兩堂課，點擊我要報名後，畫面又會變空白，請幫忙處理，謝謝！
</t>
    </r>
    <r>
      <rPr>
        <color rgb="FF1155CC"/>
        <u/>
      </rPr>
      <t>https://member.roccpa.org.tw/TACCTG/event/view/23904#
https://member.roccpa.org.tw/TACCTG/event/view/23905#</t>
    </r>
  </si>
  <si>
    <t>請協助補全與修正助理人員資料，謝謝
陳怡安
科系：計量金融
事務所名稱：資誠聯合會計師事務所
事務所統編：03932533
到職申報日期：112年11月30日
到職核備日期：112年12月13日
到職核備文號：全聯會三字第11200789號
到職收文文號：11200789</t>
  </si>
  <si>
    <t>請幫我修改「活動標題」和「活動封面圖檔」，感謝！
https://member.roccpa.org.tw/TACCTG/event/detail/23887#
活動標題改成：11/11(線上)ESG會計化，專業價值再進化(認列確信時數)</t>
  </si>
  <si>
    <t>請協助調整助理人員姓名黃鏝"嬑"</t>
  </si>
  <si>
    <t>一、請協助將助理人員的事務所改為台中分所：田洛群
事務所名稱：立本台灣聯合會計師事務所(台中分所)
事務所統編：76902916A
二、呂翠琦
請刪除離職紀錄，該員新送件辦理助理人員離職，先前沒有送過，查詢系統中離職的文號沒有這個人。
以上再請協助，謝謝</t>
  </si>
  <si>
    <r>
      <rPr/>
      <t xml:space="preserve">請協助將這一堂課改成編輯中, 還沒有要發布:
</t>
    </r>
    <r>
      <rPr>
        <color rgb="FF1155CC"/>
        <u/>
      </rPr>
      <t>https://member.roccpa.org.tw/TACCTG/event/detail/23951#</t>
    </r>
  </si>
  <si>
    <t>以下4位助理人員資料再請協助修改，謝謝您
一、黃詩棋
性別:女
生日：80年1月16日
二、呂樂憫
身分證字號：A280013380
三、黃妙涵
性別：女
四、李柏儒
身分證字號：Ｍ123097146
以上再請協助，謝謝</t>
  </si>
  <si>
    <t>9527153219299549
9527153219935249
這2筆訂單委查不到Tappay的刷卡資料，可否幫我看看究竟有無繳費?</t>
  </si>
  <si>
    <t>經查此兩者均為現金，所以查不到</t>
  </si>
  <si>
    <t xml:space="preserve">周政和會計師在會員資料的信箱是：davidchou@tongrencpa.com
報名課程的時候，會自動代入錯誤的電子郵件：devidchou@tongrencpa.com
麻煩協助處理，謝謝！
</t>
  </si>
  <si>
    <t>要麻煩你幫我修改這6堂課的「活動標題」和「活動封面圖檔」，謝謝。
https://member.roccpa.org.tw/TACCTG/event/detail/23903#
活動標題改：12/05(台北)永續數據的起點：溫室氣體盤查與數據品質(認列董事時數、確信時數)
https://member.roccpa.org.tw/TACCTG/event/detail/23904#
活動標題改：12/09(台北)永續策略的應用：風險評估與財務衝擊(IFRS S2)(認列董事時數、確信時數)
https://member.roccpa.org.tw/TACCTG/event/detail/23905#
活動標題改：12/10(台北)永續治理的實踐：誠信與決策(IFRS S1)(認列董事時數、確信時數)
https://member.roccpa.org.tw/TACCTG/event/detail/23937#
活動標題改：12/15(台中)永續數據的起點：溫室氣體盤查與數據品質(認列董事時數、確信時數)
https://member.roccpa.org.tw/TACCTG/event/detail/23947#
活動標題改：12/17(台中)永續策略的應用：風險評估與財務衝擊(IFRS S2)(認列董事時數、確信時數)
https://member.roccpa.org.tw/TACCTG/event/detail/23948#
活動標題改：12/19(台中)永續治理的實踐：誠信與決策(IFRS S1)(認列董事時數、確信時數)</t>
  </si>
  <si>
    <t>請協助修正助理人員資料，謝謝您
張沁嫺
學歷：德明財經科技大學
科系：會計資訊系
此件(張沁嫺)，請協助將助理人員的事務所改為民權分所
事務所名稱：育嘉聯合會計師事務所(民權分所)
事務所統編：20080115C</t>
  </si>
  <si>
    <t>請協助刪除助理人員-林佳慧 的離職資料及將狀態修改為任職中，謝謝您</t>
  </si>
  <si>
    <r>
      <rPr/>
      <t xml:space="preserve">請您協助抽換以下座談會的附件，謝謝
12月22日「北區114年度稅務座談會」
</t>
    </r>
    <r>
      <rPr>
        <color rgb="FF1155CC"/>
        <u/>
      </rPr>
      <t>https://member.roccpa.org.tw/TACCTG/event/view/24129#</t>
    </r>
  </si>
  <si>
    <r>
      <rPr/>
      <t xml:space="preserve">請幫我改這個活動的"進修項目"和"類型"，中市公會同仁建立活動的時候選錯了，請改成「專教會核可之講習、座談會」，謝謝！
</t>
    </r>
    <r>
      <rPr>
        <color rgb="FF1155CC"/>
        <u/>
      </rPr>
      <t>https://member.roccpa.org.tw/TACCTG/event/detail/23898#</t>
    </r>
  </si>
  <si>
    <t>同上:還有這邊，謝謝！</t>
  </si>
  <si>
    <t>請幫我改這個活動的"進修項目"和"類型"，同仁建立活動的時候選錯了，請改成「專教會核可之講習、座談會」，謝謝！https://member.roccpa.org.tw/TACCTG/event/detail/23898#</t>
  </si>
  <si>
    <t>https://member.roccpa.org.tw/TACCTG/event/detail/23896#
11/24(台北)民法親屬繼承編相關問題研析
有一筆，會計師重複繳費了
但我不知道哪一筆是重複的</t>
  </si>
  <si>
    <t>9527153287243402
把訂單編號是這筆的退掉</t>
  </si>
  <si>
    <r>
      <rPr/>
      <t xml:space="preserve">有8個人報到成功沒有學分和學分證明，請幫忙檢查~
</t>
    </r>
    <r>
      <rPr>
        <color rgb="FF1155CC"/>
        <u/>
      </rPr>
      <t>https://member.roccpa.org.tw/TACCTG/event/detail/23895#</t>
    </r>
  </si>
  <si>
    <r>
      <rPr/>
      <t xml:space="preserve">有一個會計師在這一堂課又沒有學分
</t>
    </r>
    <r>
      <rPr>
        <color rgb="FF1155CC"/>
        <u/>
      </rPr>
      <t>https://member.roccpa.org.tw/TACCTG/event/detail/23885#</t>
    </r>
  </si>
  <si>
    <t>林威任，正確身分證號：P124166697
1.請將身分證號P12466697的人員資料刪除(此筆ID有誤)。
2.請協助於正確的身分證號補到職資料：
事務所名稱：遠見國際聯合會計師事務所
事務所統編：26259968
狀態：任職中
實際到職日：113年11月18日
到職申報日期：114年1月23日
到職核備日期：114年1月24日
到職核備文號：全聯會字第1140000095號
到職收文文號：全聯會字第1140000095號</t>
  </si>
  <si>
    <t>董詩韻
助理人員身分證號變更，原居留證號XB00100086，因取得台灣身分證，故更改為F280112329，謝謝您</t>
  </si>
  <si>
    <t>請幫我把這堂課的資料改成下面的樣式
https://member.roccpa.org.tw/TACCTG/event/detail/24186#
活動標題：12/23(線上)ISSA5000與ISAE3000/3410實務運用之差異(認列確信時數)
活動子標題：ISSA5000與ISAE3000/3410實務運用之差異
活動說明(改最上面標題就好)：「ISSA5000與ISAE3000/3410實務運用之差異」</t>
  </si>
  <si>
    <t>助理人員資料請協助修正，謝謝您
陳淑稹
正確應為：陳淑禎
學歷：中國工商專校
科系：財稅科</t>
  </si>
  <si>
    <t>因結案結果文字有誤，煩請將-收文1140001480號，退回至承辦人-陳婷婷，以利重新修改結案文字，謝謝您。</t>
  </si>
  <si>
    <t>本件發文字號1140001127,麻煩協助更改承辦人為邱薇伊,謝謝!</t>
  </si>
  <si>
    <t>這一堂課匯出的名單怎麼無法開啟?
https://member.roccpa.org.tw/TACCTG/event/detail/24057#</t>
  </si>
  <si>
    <t>因標題的房屋稅2.0與地方稅制包含非法自元"."
改副檔名xlsx可以直接開</t>
  </si>
  <si>
    <t>以下助理人員資料請協助修正，謝謝您
蔡玫芸
學歷：台灣大學
科系：會計學系</t>
  </si>
  <si>
    <t>這一堂課程，有一個助理報名，他說信用卡已經扣款，但是系統上顯示未繳費，我查後台，查不到tappay的訂單號碼https://member.roccpa.org.tw/TACCTG/event/detail/24186#</t>
  </si>
  <si>
    <t>https://member.roccpa.org.tw/TACCTG/event/detail/23952
他這個繳了兩次
先退這個錯誤課再請他重繳</t>
  </si>
  <si>
    <t>https://member.roccpa.org.tw/TACCTG/event/detail/23951#
這一堂課有一整排的人，學分數是0</t>
  </si>
  <si>
    <t>寶拉</t>
  </si>
  <si>
    <t>助理人員姓名修正，江昱潔，正確應為：江旻潔，謝謝您</t>
  </si>
  <si>
    <t>以下助理人員資料請協助修正，謝謝您
1.柳雅蓁
科系：會計資訊系
2.此筆資料新舊系統皆查無資料，請新增。
姓名：曾家煌
性別：男
出生年月日：75年3月3日
學歷：銘傳大學
科系：會研所
實際到職日：101年9月3日
到職申報日：101 年 10 月 9 日
到職核備日：101 年 10 月 11 日
到職核備文號：全聯會三字第10100905號
到職收文文號：全聯會三字第10100905號</t>
  </si>
  <si>
    <t>蔡佳芸小姐之到職紀錄新增
該員應於111/12/5 到職 中山聯合會計師事務所
但系統並未顯示此筆到職紀錄</t>
  </si>
  <si>
    <t>王啟維 身分證字號:P124*****3
到職事務所請協助更正為:中山聯合會計師事務所(高雄分所</t>
  </si>
  <si>
    <t>請協助補上助理人員黃○儒到職紀錄</t>
  </si>
  <si>
    <t>調整三名助理人員的相關到離職歷程</t>
  </si>
  <si>
    <t>調整24492課程的用餐與否</t>
  </si>
  <si>
    <t>調整兩名助理人員: 陳玉玲的離職日 與 朱芷萱的畢業學校科系</t>
  </si>
  <si>
    <t>因為中市公會同事已用系統建立課程報到,又重複提供學分匯入資料,導致本課程重複,麻煩幫我刪除11/25  114年度中區稅務座談會92筆學分資料</t>
  </si>
  <si>
    <t>公發簽證資格判判斷日期調整: 目前判斷異動日期而非公文異動日提</t>
  </si>
  <si>
    <t>1/30更新</t>
  </si>
  <si>
    <t>會計師: 李秀 ，會員異動:停執（學分不足），選項無法異動，其他會計師都可異動，只有他不能異動，他跟別人不一樣的地方就是無事務所狀態，請協助處理，謝謝！</t>
  </si>
  <si>
    <t>您好:
再麻煩協助確認檔案匯入錯誤,謝謝您~</t>
  </si>
  <si>
    <t>不好意思,昨天我有ㄉMAIL要麻煩補登兩位新執業會計師學分,要再麻煩協助喔,謝謝</t>
  </si>
  <si>
    <t>您好:以下助理人員資料更正
身份證字號R124*****7
姓名陳冠宇
110/10/23到職國富浩華"
舊系統有此筆資訊 新系統沒有登錄到
請協助再將此紀錄登上新系統
(待您回覆後我在附上相關截圖,謝謝)</t>
  </si>
  <si>
    <t>不好意思,因為北市公會承辦提供了區間重複的學分資料,所以可以麻煩幫我協助刪除這個檔案匯入的學分資料嗎?謝謝.</t>
  </si>
  <si>
    <t>有一位會計師她說她有被重複扣款
酈蘋</t>
  </si>
  <si>
    <t xml:space="preserve">D20251116UgaXuI
跟
D20251116GBVozQ
這兩筆要退一筆  這兩個確實重複繳款
https://member.roccpa.org.tw/TACCTG/event/detail/23904#
另外
D20251116Hlui6d
對應
https://member.roccpa.org.tw/TACCTG/event/detail/23903#
D20251130NmA02L
對應
https://member.roccpa.org.tw/TACCTG/event/detail/23905#
D20251130YGGyqy
對應
https://member.roccpa.org.tw/TACCTG/event/detail/23938#
都沒有重複
</t>
  </si>
  <si>
    <t>因為中市公會同事已用全聯會系統建立課程報到,又重複提供學分匯入資料,導致本課程學分重複,麻煩幫我刪除12/3  洗錢防制法對會計師之影響以法令遵循為中心 ,63筆學分資料,謝謝. 我有再次跟他們宣導了,真的很不好意思.</t>
  </si>
  <si>
    <t>因金管會業務需要，請依援例提供檔案如下，感謝配合
CSV檔、TXT文字檔(執業會計師名單其中有亂碼的部分再麻煩更正，文字編碼的部分，請用UTF 8的編碼)
需要的內容 :身分證字號、姓名
範圍: 沒有廢止執業登記的會計師
時間114/12/31 前</t>
  </si>
  <si>
    <t xml:space="preserve">tappy通知有一筆爭議交費
社團法人中華民國會計師公會全國聯合會 (04192682) 您好，
TapPay 接收來自銀行爭議款調單通知，並已執行代收帳戶圈存保留爭議款項如下，請貴公司於7個日曆日內回覆。
若貴公司認為爭議款不屬實，請儘速與消費者確認該筆交易事實。若經持卡人確認有該筆交易，須請持卡人去電發卡行取消此筆爭議款，並請貴公司將該筆爭議款案件編號/客服編號，以本信件回覆。
•	保留日期：20251224
•	收單商代：tppf_04192682_5808001
•	TapPay 訂單編號：D202510301csE1N
•	商家訂單編號：9527153035714994
•	訂單金額：2000
•	實際保留金額：1951
</t>
  </si>
  <si>
    <t xml:space="preserve">看起來也不是重複付款
這堂課
https://member.roccpa.org.tw/TACCTG/event/detail/23903#
有報名也有報到
2025-10-30 15:51:10.741
這時間付錢的
</t>
  </si>
  <si>
    <t>請協助調整三名助理人員資料</t>
  </si>
  <si>
    <t>分證字號AD*******19
已取得永久居留證 F900524356
請協助修改</t>
  </si>
  <si>
    <t>請分別提供
1.  114/01/01~114/12/31廢止會計師事務所之資料(事務所名稱、負責人、廢止日期)
2.  114/01/01~114/12/31廢止會計師之資料(會計師姓名、身份證字號、廢止日期)</t>
  </si>
  <si>
    <t>以下助理人員請協助處理
1.身份證字號
H22******4
姓名蕭"伃"秀
系統顯示蕭?秀 請再協助更新為蕭"伃"秀
2.身份證字號R12*****3
姓名方信凱
到職事務所請協助修改為 72189495B 
南台聯合會計師事務所(台南分所)</t>
  </si>
  <si>
    <t>以下2位助理人員資料，煩請協助修改~~
身份證字號
L22*****7
姓名洪嘉翊
正確性名應為 洪嘉"翎" 請協助修改
身份證字號
D22*****7
姓名蔡佳蓉
學歷請修改為 逢甲大學 會計系</t>
  </si>
  <si>
    <t>以下2位助理人員再煩請協助,謝謝
1.身份證字號
A226*****7姓名廖映慈
請更新系統學歷應為"真理大學 會計資訊系"
2身份證字號M22*****0
姓名林㳖瑈
此為助理人員姓名特殊字 系統無法顯示 在煩請看是否可協助改正</t>
  </si>
  <si>
    <t xml:space="preserve">3.身份證字號J120****4
姓名張書塘
這位助理人員 113/1/11到職惟里聯合會計師事務所 核備文號11300056
但系統未有他的紀錄(系統查無此人) </t>
  </si>
  <si>
    <t>身份證字號
F224****41姓名劉雅玲
生日應為67/6/24
系統生日誤植為 67/7/24 再請協助修正為"6/24"謝謝</t>
  </si>
  <si>
    <t>身份證字號
P224****2姓名吳姿儀
學歷應為 德明科大 財政稅務系 請協助修正</t>
  </si>
  <si>
    <t>身份證字號
A1266****2姓名莊宜峻
性別系統顯示為 女 請協助 修正為 男</t>
  </si>
  <si>
    <t>身份證字號
N226xxxxxx
姓名"吳"焯芮
應為 巫焯芮</t>
  </si>
  <si>
    <t>請協助置換https://member.roccpa.org.tw/TACCTG/event/detail/25825#活動的附件檔案</t>
  </si>
  <si>
    <t xml:space="preserve">1.身份證字號
K22*****7姓名"狄"沛辰
應為 耿沛辰
2.身份證字號
A225****4姓名曾莉卿
性別系統顯示為 男 請協助 修正為 女
</t>
  </si>
  <si>
    <t>以下助理人員資料請協助修正:
1.身分證字號: A23****03 姓名:許芝綾
舊系統有資誠聯合到職資料 但新系統沒有任何到職紀錄
另 學歷應為 中正大學 企管系
2.身份證字號
F22****8姓名蕭伃彤
請問是否能將「伃」字key進該位人員資料
3.身份證字號
F130635071姓名黃娬熏
是否能將「娬」(女+武)字key進該位人員資料</t>
  </si>
  <si>
    <t>這一堂課第5頁有一排的人，學分數是零</t>
  </si>
  <si>
    <t>1.身分證字號：H225****63，姓名蕭臻璟，請協助改名 蕭子晏
2.身份證字號F229****53姓名吳靜宜 112/08/1到職建昇財稅 但沒有這筆到職紀錄
3.身分證字號 A128****79 姓名王仲迪 112/09/18到職建昇財稅 但沒有這筆到職紀錄</t>
  </si>
  <si>
    <t>陳依蘋 有幾筆學分年度有誤, 請協助刪除</t>
  </si>
  <si>
    <t>發文取號會出現重複問題
要在取號跟檢核都做防呆</t>
  </si>
  <si>
    <t>我有一個尚未取號的發文,但公文簽核流程出現問題,再煩請確認,謝謝~
副秘是點給理事長.,顯示卻變成點給我,而且時間還是第一次副秘點給我的時間,另外公文雖然出現在理事長那邊,但理事長帳號進去是看不到公文簽核的按鈕.</t>
  </si>
  <si>
    <t>請幫我刪除第一筆~~執登正常的~~~會計師執業過~~我要用第2筆作變更，謝謝!</t>
  </si>
  <si>
    <t>以下助理人員請協助調整資料
1.身分證字號A22****144姓名 曾莉卿 當初誤植為A開頭 請協助將身分證字號修改為N開頭 謝謝
2.身份證字號N226****58姓名吳芳岑 請協助將到職事務所更改為"誠品聯合會計師事務所 彰化分所"統編20396901A
3.身份證字號
W200****83 姓名陳妍伊 系統學歷顯示空白 請協助學歷修改為 高雄應用科技大學/會計系</t>
  </si>
  <si>
    <t>身份證字號 O200***672 姓名 吳XX
該位助理人員學歷科系有誤
請協助更正
正確學歷為中正大學 
正確科系為會計與資訊科技學系</t>
  </si>
  <si>
    <t>昨天修改的那一堂課，怎麼顯示"尚未開放"報名?</t>
  </si>
  <si>
    <r>
      <rPr/>
      <t xml:space="preserve">省公會中區辦公室的柯鳳英小姐請您協助
陳琬鈺會計師改成未報到模式，謝謝您！
課程這堂：
</t>
    </r>
    <r>
      <rPr>
        <color rgb="FF1155CC"/>
        <u/>
      </rPr>
      <t>https://member.roccpa.org.tw/TACCTG/event/detail/24506#</t>
    </r>
  </si>
  <si>
    <t>不好意思,我剛剛匯入一堂2026/1/6課程,因省公會承辦人年度部分打成114年度,可否協助更改這整筆的年度為115年
https://member.roccpa.org.tw/TACCTG/event/detail/26694#
各類扣繳法令實務含租稅減免規定</t>
  </si>
  <si>
    <t>我整筆匯入報名資料，出現的問題
ClassNotFound, Duplicate</t>
  </si>
  <si>
    <t>原始資料有問題
已指出原因</t>
  </si>
  <si>
    <t>身份證字號 E22****572
姓名 吳亞珉(讀ㄇ一ㄣˊ)
系統未顯示最後一個字，慶協助更正</t>
  </si>
  <si>
    <r>
      <rPr/>
      <t xml:space="preserve">省公會中區辦公室的柯小姐請您協助
孫孝文會計師改成未報到模式，謝謝您！
課程這堂：
</t>
    </r>
    <r>
      <rPr>
        <color rgb="FF1155CC"/>
        <u/>
      </rPr>
      <t>https://member.roccpa.org.tw/TACCTG/event/detail/24505#</t>
    </r>
  </si>
  <si>
    <t>以下幾位助理人員資料須請您們協助更正
1.身份證字號 B12***7757
姓名 趙芸鋒 系統顯示姓名與身分證字號填顛倒
2.身份證字號 B9*****835
姓名 田稚萱 同上述狀況
3.身份證字號 P22****636
系統顯示兩欄都打成身分證字號 請更正姓名應為 "許純菁" 
4.身份證字號 A22****434
姓名 林姿吟性別有誤
5.身份證字號 L22****620
姓名 陳綉惠 綉字顯示成?了 請協助更正
6.身份證字號 W20****259
姓名 黃雯萱 該位人員出生年月日有誤生日應為"83/2/25"
以上再麻煩了 謝謝</t>
  </si>
  <si>
    <t>身份證字號 L22***669
姓名 賴又榳
出生年月日有誤 生日應為 86.6.18
身份證字號 D22****41
姓名 陳蒨" 萮"
尾字應為 古字 (應為草字頭+兪)
是否協助造字,若不方便造字 再請協助修改為 萮</t>
  </si>
  <si>
    <t>身份證字號　L125****63
姓名　賴辰岡
系統登記之學歷有誤，正確學歷為勤益科技大學，煩請協助更正 感謝</t>
  </si>
  <si>
    <t>2位好，煩請協助，有關收文字號 1150000248號，因同仁不小心點給我，故簽收表上承辦人目前還掛我，煩請 協助更正為「孫鳳禧」，相關資訊如下，謝謝您.</t>
  </si>
  <si>
    <t>可以麻煩幫我看一下,這個台中公會給我的檔案為什麼匯不進去嗎?
他的原檔就是無法匯入,我又把檔案重貼到範例檔案,但還是匯不進去,謝謝~</t>
  </si>
  <si>
    <t>會計師辦理公開發行財務簽證核准，異動資料內狀態也是「核准」，但在執業會員資料管理之明細，公開發行財務簽證之核准狀態卻為空白?煩請檢視所有辦理公開發行財務簽證之會計師明細是否都有「核准」或「撤銷」?
舉例劉庭芸、朱紹宇….等。</t>
  </si>
  <si>
    <t>助理人員陳俊志(P123XX), 單位戰調整回486元大, 原單位設定離職後, 再調回2576仲品</t>
  </si>
  <si>
    <t>有一件助理人員須請您協助
該助理人員於97/9/30 已到職"邦貴"會計師事務所
統編10377150
當時用收文字號做紀錄,全聯會三字第09701038號
但系統上,無論新舊 邦貴會計師事務所底下都沒有核備助理人員的紀錄(已去電邦貴確認 所內僅一名會計師助理人員)</t>
  </si>
  <si>
    <t>我有一堂課的日結單，有修改過日期，但是產出的日結單，課名單還是舊的</t>
  </si>
  <si>
    <t>可否針對會務系統上會計師異動項目內復執、懲戒能重新檢視?因案件少，但每次基本上都無法順利登載，麻煩兩位協助，謝謝!
之前李秀會計師也有回復執業的相關案例，當時系統無法使用，因為當時提到該會計師沒有事務所狀態才無法復執。
本次是謝金虎會計師回復執業乙事，該會計師有事務所，但異動後系統一樣有問題。</t>
  </si>
  <si>
    <t>改成
4/10(高雄)會計師之洗錢防制義務與新興洗錢、詐騙態樣案例分析 (認列洗錢防制時數、董事時數)
報名期限也要改到4/9上午11點
活動時間改道4月10日下午2:5時</t>
  </si>
  <si>
    <t>會計師一開始辦理執登用的EMAIL為個人的~但去年就已經更新EMAIL了~~~但進入APP報名課程依然呈現舊的EMAIL~~讓會計師每次報名都要自行修改~~麻煩兩位處理一下~謝謝!</t>
  </si>
  <si>
    <t>我剛剛要整筆匯入報名名單，總共有54筆，但成功只有52筆</t>
  </si>
  <si>
    <t>有兩位身分證號與姓名不符合被系統檔下
請會務處理</t>
  </si>
  <si>
    <t>身份證字號 O200****62
姓名 吳蓓如
出生年月日及學歷有誤
正確學歷:東吳大學會計系
正確出生年月日:88年8月11日</t>
  </si>
  <si>
    <t>https://member.roccpa.org.tw/TACCTG/event/detail/26701#
(認列董事時數)
在活動說明裡這一段話要刪除</t>
  </si>
  <si>
    <t>可以麻煩協助收文115000334的流程問題嗎? 謝謝</t>
  </si>
  <si>
    <t>以下助理人員請協助修改
1.身份證字號 O100****85
姓名 鄧捷 系統上學歷為Honours Bachelor of Arts 改成 經濟、環境科學系
2.身份證字號K122****38 姓名陳銘吉
請協助將114/10/31到職冠恆聯合資料 改為 離職(到職114/7/1之下)
您回覆後我可提共截圖供參
3身份證字號N224****67姓名梁熙畇
114/6/9到職牛津會計師事務所之資料 改為 離職 (到職113/7/22之下)
您回覆後我可提共截圖供參</t>
  </si>
  <si>
    <t>助理
請將舊身份證字號OC3****767更改為O800070251
您看完後我收回</t>
  </si>
  <si>
    <t>https://member.roccpa.org.tw/TACCTG/event/detail/26701#
3/26(線上)解散、清算及法院聲報研討
這一堂課有一個會計師，胡宗奇
麻煩請您幫我改成"未報到"，謝謝</t>
  </si>
  <si>
    <t>郭真維副秘書長</t>
  </si>
  <si>
    <t>,麻煩確認一封公文發文的流程出現這情況，是否屬bug或是甚麼造成，現在公文在我這一關</t>
  </si>
  <si>
    <t>身份證字號 F227***136
姓名 黃孟婷
該位人員於資誠聯合的到職日期未顯示，導致年資為0，以及性別有誤，其到職日為103年9月1日，須請系統協助更正</t>
  </si>
  <si>
    <t>協助調整性別
其餘請會務處理</t>
  </si>
  <si>
    <t>身份證字號 A126***119
姓名 郭晉愷
該位人員當初申報臺北分所到職，誤報為本所到職，須請系統修改，負責人章也是蓋分所負責人</t>
  </si>
  <si>
    <t>身份證字號 O20****115
姓名 詹竣婷
需請協助將原學歷彰化師範大學企管系，更改為學歷university of edinburgh，科系msc management
B220****89 姓名陳姿菁 
姓名請協助改為"張宜芳"</t>
  </si>
  <si>
    <t>你好，有二堂課要請你們協助改時間。
https://member.roccpa.org.tw/TACCTG/event/detail/26736#
改成05/07(台北)永續資訊準則面面觀-從GRI到IFRS看揭露準則隱含的資本市場期待(認列董事、確信時數)
報名期限 改到5/6下午12點
活動時間 改5/7下午2點-5點
https://member.roccpa.org.tw/TACCTG/event/detail/26737#
改成05/07(線上)永續資訊準則面面觀-從GRI到IFRS看揭露準則隱含的資本市場期待(認列確信時數)
報名期限 改到5/6下午12點
活動時間 改5/7下午2點-5點</t>
  </si>
  <si>
    <t>4/27台北一次上手非營利⋯發生吳瑞卿會計師報名資料有兩筆的情況</t>
  </si>
  <si>
    <t>請問會計師已經更新過e-mail信箱
為什麼他報名的時候，帶出來的信箱還是舊的?
memo: 要確認一下各公會間現在同步問題</t>
  </si>
  <si>
    <t>麻煩幫我把這一堂課的這一位回復到未報到嗎?
https://member.roccpa.org.tw/TACCTG/event/detail/26944#
有一個黃x婷</t>
  </si>
  <si>
    <t>請問可以幫我把明天這2堂課的報名功能打開嗎？謝謝
https://member.roccpa.org.tw/TACCTG/event/detail/26736#
https://member.roccpa.org.tw/TACCTG/event/detail/26737#</t>
  </si>
  <si>
    <r>
      <rPr/>
      <t xml:space="preserve">可以幫忙延長報名時間？在線等~
</t>
    </r>
    <r>
      <rPr>
        <color rgb="FF1155CC"/>
        <u/>
      </rPr>
      <t>https://member.roccpa.org.tw/TACCTG/event/detail/26737#</t>
    </r>
  </si>
  <si>
    <t xml:space="preserve">身份證字號：U221***899，姓名：張美卿
於舊系統上有一筆到職資料未轉移至新系統，92年6月1日在勤業眾信到職，需請系統更正
身份證字號：R22***7620，姓名：張雅涵
於舊系統上有一筆到職資料未轉移至新系統，94年3月16日在勤業眾信到職，需請系統更正
</t>
  </si>
  <si>
    <t xml:space="preserve">身份證字號：F22942***7，姓名：曾詠琪
學歷科系有誤，正確學歷科系應為中正大學 會計與資訊科技學系，
身份證字號：A1254***94，姓名：王興智
系統上學歷科系未顯示，學歷科系應為南台科技大學 財務金融系
身份證字號：E221***163，姓名：董淑瑩
需請系統協助改名，該位人員改名為董姝瑩
</t>
  </si>
  <si>
    <t xml:space="preserve">身份證字號：H223***615，姓名：盧怡□
盧怡彣（ㄨㄣˊ），系統未顯示出該字，需請系統協助更正
身份證字號：N226***448，姓名：蔡婷?
蔡婷伃（ㄩˊ），系統未顯示出該字，需請系統協助更正
身份證字號：Q22***9446，姓名：呂沛璇
該位人員於系統上登記之性別有誤，須請系統協助更正
</t>
  </si>
  <si>
    <t>Bug分級定義</t>
  </si>
  <si>
    <t>總Bug數量</t>
  </si>
  <si>
    <t>待修正/處理中/覆驗失敗</t>
  </si>
  <si>
    <t>Close/Cancel/覆驗通過</t>
  </si>
  <si>
    <t>Critial</t>
  </si>
  <si>
    <t>嚴重影響產品使用，系統支援問題，安全性問題</t>
  </si>
  <si>
    <t>最高</t>
  </si>
  <si>
    <t>High</t>
  </si>
  <si>
    <t>功能不符合流程且不能往下執行，且有效能問題</t>
  </si>
  <si>
    <t>Mid</t>
  </si>
  <si>
    <t>不影響主流程, 但功能錯誤, 或缺少必要欄位</t>
  </si>
  <si>
    <t>Low</t>
  </si>
  <si>
    <t>一些UI/Wording問題，不影響功能</t>
  </si>
  <si>
    <t>Bug數量(10/23之前)</t>
  </si>
  <si>
    <t>1.會籍管理新增會員及使用者管理新增帳號時，請填寫測試者自己的email，以便接收密碼信。</t>
  </si>
  <si>
    <t>2.印鑑證明申請使用測試線上支付繳款時，請使用line pay掃描後，選擇取消付款即可測試繳款成功。</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</si>
</sst>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d"/>
    <numFmt numFmtId="165" formatCode="yyyy/m/d"/>
    <numFmt numFmtId="166" formatCode="m/d"/>
    <numFmt numFmtId="167" formatCode="yyyy&quot;/&quot;mm&quot;/&quot;dd"/>
    <numFmt numFmtId="168" formatCode="yyyy/mm/dd"/>
  </numFmts>
  <fonts count="26">
    <font>
      <sz val="10.0"/>
      <color rgb="FF000000"/>
      <name val="Arial"/>
      <scheme val="minor"/>
    </font>
    <font>
      <sz val="10.0"/>
      <color theme="1"/>
      <name val="Arial"/>
    </font>
    <font>
      <b/>
      <sz val="10.0"/>
      <color theme="1"/>
      <name val="Arial"/>
    </font>
    <font>
      <b/>
      <sz val="10.0"/>
      <color rgb="FFCC0000"/>
      <name val="Arial"/>
    </font>
    <font>
      <color theme="1"/>
      <name val="Arial"/>
      <scheme val="minor"/>
    </font>
    <font>
      <color theme="1"/>
      <name val="Microsoft JhengHei"/>
    </font>
    <font>
      <color rgb="FFFFFFFF"/>
      <name val="Arial"/>
      <scheme val="minor"/>
    </font>
    <font>
      <b/>
      <color theme="1"/>
      <name val="Arial"/>
      <scheme val="minor"/>
    </font>
    <font>
      <color rgb="FF000000"/>
      <name val="Arial"/>
    </font>
    <font>
      <color theme="1"/>
      <name val="Arial"/>
    </font>
    <font>
      <color rgb="FFFF0000"/>
      <name val="Arial"/>
      <scheme val="minor"/>
    </font>
    <font>
      <sz val="12.0"/>
      <color theme="1"/>
      <name val="Arial"/>
      <scheme val="minor"/>
    </font>
    <font>
      <sz val="10.0"/>
      <color rgb="FF000000"/>
      <name val="Arial"/>
    </font>
    <font>
      <color rgb="FF000000"/>
      <name val="Roboto"/>
    </font>
    <font>
      <color rgb="FF000000"/>
      <name val="微軟正黑體"/>
    </font>
    <font>
      <sz val="10.0"/>
      <color rgb="FF1F1F1F"/>
      <name val="Arial"/>
    </font>
    <font>
      <sz val="10.0"/>
      <color rgb="FF1F1F1F"/>
      <name val="&quot;Google Sans&quot;"/>
    </font>
    <font>
      <sz val="11.0"/>
      <color theme="1"/>
      <name val="新細明體"/>
    </font>
    <font>
      <color rgb="FFFFFFFF"/>
      <name val="Arial"/>
    </font>
    <font>
      <sz val="10.0"/>
      <color rgb="FFFF0000"/>
      <name val="標楷體"/>
    </font>
    <font>
      <sz val="10.0"/>
      <color theme="1"/>
      <name val="Arial"/>
      <scheme val="minor"/>
    </font>
    <font>
      <u/>
      <color rgb="FF0000FF"/>
    </font>
    <font>
      <sz val="13.0"/>
      <color rgb="FF676A6C"/>
      <name val="Arial"/>
    </font>
    <font>
      <sz val="11.0"/>
      <color theme="1"/>
      <name val="Arial"/>
    </font>
    <font>
      <sz val="10.0"/>
      <color rgb="FF000000"/>
      <name val="標楷體"/>
    </font>
    <font>
      <sz val="11.0"/>
      <color rgb="FF212121"/>
      <name val="新細明體"/>
    </font>
  </fonts>
  <fills count="11">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93C47D"/>
        <bgColor rgb="FF93C47D"/>
      </patternFill>
    </fill>
    <fill>
      <patternFill patternType="solid">
        <fgColor rgb="FFFFF2CC"/>
        <bgColor rgb="FFFFF2CC"/>
      </patternFill>
    </fill>
    <fill>
      <patternFill patternType="solid">
        <fgColor rgb="FFFFFFFF"/>
        <bgColor rgb="FFFFFFFF"/>
      </patternFill>
    </fill>
    <fill>
      <patternFill patternType="solid">
        <fgColor rgb="FFEA9999"/>
        <bgColor rgb="FFEA9999"/>
      </patternFill>
    </fill>
    <fill>
      <patternFill patternType="solid">
        <fgColor rgb="FFB7B7B7"/>
        <bgColor rgb="FFB7B7B7"/>
      </patternFill>
    </fill>
  </fills>
  <borders count="3">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164" xfId="0" applyAlignment="1" applyFill="1" applyFont="1" applyNumberForma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4" fontId="2"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readingOrder="0" shrinkToFit="0" wrapText="1"/>
    </xf>
    <xf borderId="0" fillId="7" fontId="2" numFmtId="0" xfId="0" applyAlignment="1" applyFill="1" applyFont="1">
      <alignment shrinkToFit="0" wrapText="1"/>
    </xf>
    <xf borderId="0" fillId="7" fontId="2" numFmtId="164" xfId="0" applyAlignment="1" applyFont="1" applyNumberFormat="1">
      <alignment shrinkToFit="0" wrapText="1"/>
    </xf>
    <xf borderId="0" fillId="7" fontId="3" numFmtId="164" xfId="0" applyAlignment="1" applyFont="1" applyNumberFormat="1">
      <alignment readingOrder="0" shrinkToFit="0" wrapText="1"/>
    </xf>
    <xf borderId="0" fillId="3" fontId="2" numFmtId="164" xfId="0" applyAlignment="1" applyFont="1" applyNumberFormat="1">
      <alignment shrinkToFit="0" wrapText="1"/>
    </xf>
    <xf borderId="0" fillId="4"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1" fillId="0" fontId="5" numFmtId="0" xfId="0" applyAlignment="1" applyBorder="1" applyFont="1">
      <alignment readingOrder="0" shrinkToFit="0" wrapText="1"/>
    </xf>
    <xf borderId="0" fillId="0" fontId="6"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1"/>
    </xf>
    <xf borderId="0" fillId="0" fontId="4" numFmtId="164" xfId="0" applyFont="1" applyNumberFormat="1"/>
    <xf borderId="0" fillId="0" fontId="4" numFmtId="0" xfId="0" applyAlignment="1" applyFont="1">
      <alignment readingOrder="0" shrinkToFit="0" wrapText="1"/>
    </xf>
    <xf borderId="0" fillId="0" fontId="4" numFmtId="0" xfId="0" applyAlignment="1" applyFont="1">
      <alignment readingOrder="0"/>
    </xf>
    <xf borderId="0" fillId="0" fontId="4" numFmtId="165" xfId="0" applyAlignment="1" applyFont="1" applyNumberFormat="1">
      <alignment readingOrder="0"/>
    </xf>
    <xf borderId="0" fillId="8" fontId="8" numFmtId="0" xfId="0" applyAlignment="1" applyFill="1" applyFont="1">
      <alignment horizontal="left" readingOrder="0"/>
    </xf>
    <xf borderId="2" fillId="0" fontId="9" numFmtId="165" xfId="0" applyAlignment="1" applyBorder="1" applyFont="1" applyNumberFormat="1">
      <alignment readingOrder="0" vertical="bottom"/>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0" fontId="10" numFmtId="0" xfId="0" applyAlignment="1" applyFont="1">
      <alignment readingOrder="0" shrinkToFit="0" wrapText="1"/>
    </xf>
    <xf borderId="0" fillId="0" fontId="9" numFmtId="0" xfId="0" applyAlignment="1" applyFont="1">
      <alignment vertical="bottom"/>
    </xf>
    <xf borderId="0" fillId="0" fontId="9" numFmtId="0" xfId="0" applyAlignment="1" applyFont="1">
      <alignment readingOrder="0" vertical="bottom"/>
    </xf>
    <xf borderId="0" fillId="0" fontId="10" numFmtId="0" xfId="0" applyAlignment="1" applyFont="1">
      <alignment readingOrder="0"/>
    </xf>
    <xf borderId="0" fillId="0" fontId="9" numFmtId="0" xfId="0" applyAlignment="1" applyFont="1">
      <alignment shrinkToFit="0" vertical="bottom" wrapText="1"/>
    </xf>
    <xf borderId="0" fillId="0" fontId="4" numFmtId="0" xfId="0" applyAlignment="1" applyFont="1">
      <alignment horizontal="left" readingOrder="0"/>
    </xf>
    <xf borderId="0" fillId="0" fontId="11" numFmtId="164" xfId="0" applyAlignment="1" applyFont="1" applyNumberFormat="1">
      <alignment readingOrder="0"/>
    </xf>
    <xf borderId="0" fillId="0" fontId="9" numFmtId="165" xfId="0" applyAlignment="1" applyFont="1" applyNumberFormat="1">
      <alignment horizontal="right" vertical="bottom"/>
    </xf>
    <xf borderId="0" fillId="8" fontId="12" numFmtId="0" xfId="0" applyAlignment="1" applyFont="1">
      <alignment readingOrder="0"/>
    </xf>
    <xf borderId="0" fillId="9" fontId="9" numFmtId="0" xfId="0" applyAlignment="1" applyFill="1" applyFont="1">
      <alignment readingOrder="0" vertical="bottom"/>
    </xf>
    <xf borderId="0" fillId="0" fontId="4" numFmtId="164" xfId="0" applyAlignment="1" applyFont="1" applyNumberFormat="1">
      <alignment horizontal="center" readingOrder="0"/>
    </xf>
    <xf borderId="0" fillId="0" fontId="4" numFmtId="0" xfId="0" applyAlignment="1" applyFont="1">
      <alignment horizontal="left" readingOrder="0" shrinkToFit="0" wrapText="1"/>
    </xf>
    <xf borderId="0" fillId="8" fontId="13" numFmtId="0" xfId="0" applyAlignment="1" applyFont="1">
      <alignment horizontal="left" shrinkToFit="0" wrapText="1"/>
    </xf>
    <xf borderId="0" fillId="0" fontId="14" numFmtId="0" xfId="0" applyAlignment="1" applyFont="1">
      <alignment horizontal="left" readingOrder="0" vertical="bottom"/>
    </xf>
    <xf borderId="0" fillId="8" fontId="15" numFmtId="0" xfId="0" applyAlignment="1" applyFont="1">
      <alignment readingOrder="0"/>
    </xf>
    <xf borderId="0" fillId="8" fontId="16" numFmtId="0" xfId="0" applyAlignment="1" applyFont="1">
      <alignment readingOrder="0"/>
    </xf>
    <xf borderId="0" fillId="9" fontId="9" numFmtId="0" xfId="0" applyAlignment="1" applyFont="1">
      <alignment vertical="bottom"/>
    </xf>
    <xf borderId="0" fillId="0" fontId="9" numFmtId="164" xfId="0" applyAlignment="1" applyFont="1" applyNumberFormat="1">
      <alignment horizontal="right" vertical="bottom"/>
    </xf>
    <xf borderId="0" fillId="0" fontId="9" numFmtId="164" xfId="0" applyAlignment="1" applyFont="1" applyNumberFormat="1">
      <alignment horizontal="right" readingOrder="0" vertical="bottom"/>
    </xf>
    <xf borderId="0" fillId="0" fontId="4" numFmtId="166" xfId="0" applyAlignment="1" applyFont="1" applyNumberFormat="1">
      <alignment readingOrder="0"/>
    </xf>
    <xf borderId="0" fillId="0" fontId="4" numFmtId="165" xfId="0" applyAlignment="1" applyFont="1" applyNumberFormat="1">
      <alignment readingOrder="0" shrinkToFit="0" wrapText="1"/>
    </xf>
    <xf borderId="0" fillId="0" fontId="4" numFmtId="167" xfId="0" applyAlignment="1" applyFont="1" applyNumberFormat="1">
      <alignment readingOrder="0"/>
    </xf>
    <xf borderId="0" fillId="0" fontId="9" numFmtId="0" xfId="0" applyAlignment="1" applyFont="1">
      <alignment readingOrder="0"/>
    </xf>
    <xf borderId="0" fillId="0" fontId="17" numFmtId="0" xfId="0" applyAlignment="1" applyFont="1">
      <alignment readingOrder="0"/>
    </xf>
    <xf borderId="0" fillId="0" fontId="18" numFmtId="0" xfId="0" applyAlignment="1" applyFont="1">
      <alignment readingOrder="0" vertical="bottom"/>
    </xf>
    <xf borderId="0" fillId="0" fontId="19" numFmtId="0" xfId="0" applyAlignment="1" applyFont="1">
      <alignment readingOrder="0"/>
    </xf>
    <xf borderId="0" fillId="8" fontId="4" numFmtId="0" xfId="0" applyAlignment="1" applyFont="1">
      <alignment readingOrder="0" shrinkToFit="0" wrapText="1"/>
    </xf>
    <xf borderId="0" fillId="0" fontId="20" numFmtId="0" xfId="0" applyAlignment="1" applyFont="1">
      <alignment readingOrder="0"/>
    </xf>
    <xf borderId="0" fillId="0" fontId="21" numFmtId="0" xfId="0" applyAlignment="1" applyFont="1">
      <alignment readingOrder="0" shrinkToFit="0" wrapText="1"/>
    </xf>
    <xf borderId="0" fillId="0" fontId="9" numFmtId="167" xfId="0" applyAlignment="1" applyFont="1" applyNumberFormat="1">
      <alignment horizontal="right" readingOrder="0" vertical="bottom"/>
    </xf>
    <xf borderId="0" fillId="8" fontId="22" numFmtId="0" xfId="0" applyAlignment="1" applyFont="1">
      <alignment horizontal="left" readingOrder="0"/>
    </xf>
    <xf borderId="0" fillId="0" fontId="9" numFmtId="167" xfId="0" applyAlignment="1" applyFont="1" applyNumberFormat="1">
      <alignment horizontal="right" vertical="bottom"/>
    </xf>
    <xf borderId="0" fillId="0" fontId="23" numFmtId="0" xfId="0" applyAlignment="1" applyFont="1">
      <alignment vertical="bottom"/>
    </xf>
    <xf borderId="0" fillId="0" fontId="24" numFmtId="0" xfId="0" applyAlignment="1" applyFont="1">
      <alignment readingOrder="0"/>
    </xf>
    <xf borderId="0" fillId="7" fontId="4" numFmtId="0" xfId="0" applyAlignment="1" applyFont="1">
      <alignment readingOrder="0" shrinkToFit="0" wrapText="1"/>
    </xf>
    <xf borderId="0" fillId="0" fontId="4" numFmtId="168" xfId="0" applyAlignment="1" applyFont="1" applyNumberFormat="1">
      <alignment readingOrder="0"/>
    </xf>
    <xf borderId="0" fillId="10" fontId="9" numFmtId="0" xfId="0" applyAlignment="1" applyFill="1" applyFont="1">
      <alignment vertical="bottom"/>
    </xf>
    <xf borderId="0" fillId="0" fontId="9" numFmtId="164" xfId="0" applyAlignment="1" applyFont="1" applyNumberFormat="1">
      <alignment vertical="bottom"/>
    </xf>
    <xf borderId="0" fillId="10" fontId="9" numFmtId="0" xfId="0" applyAlignment="1" applyFont="1">
      <alignment readingOrder="0" vertical="bottom"/>
    </xf>
    <xf borderId="0" fillId="8" fontId="25" numFmtId="0" xfId="0" applyAlignment="1" applyFont="1">
      <alignment readingOrder="0"/>
    </xf>
    <xf borderId="0" fillId="0" fontId="9" numFmtId="0" xfId="0" applyAlignment="1" applyFont="1">
      <alignment shrinkToFit="0" vertical="bottom" wrapText="0"/>
    </xf>
  </cellXfs>
  <cellStyles count="1">
    <cellStyle xfId="0" name="Normal" builtinId="0"/>
  </cellStyles>
  <dxfs count="10">
    <dxf>
      <font>
        <color rgb="FFFF0000"/>
      </font>
      <fill>
        <patternFill patternType="solid">
          <fgColor rgb="FFFFFF00"/>
          <bgColor rgb="FFFFFF00"/>
        </patternFill>
      </fill>
      <border/>
    </dxf>
    <dxf>
      <font>
        <color rgb="FFFF0000"/>
      </font>
      <fill>
        <patternFill patternType="solid">
          <fgColor rgb="FFFFFFFF"/>
          <bgColor rgb="FFFFFFFF"/>
        </patternFill>
      </fill>
      <border/>
    </dxf>
    <dxf>
      <font>
        <color rgb="FF0000FF"/>
      </font>
      <fill>
        <patternFill patternType="solid">
          <fgColor rgb="FFC9DAF8"/>
          <bgColor rgb="FFC9DAF8"/>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theme="0"/>
      </font>
      <fill>
        <patternFill patternType="solid">
          <fgColor theme="1"/>
          <bgColor theme="1"/>
        </patternFill>
      </fill>
      <border/>
    </dxf>
    <dxf>
      <font/>
      <fill>
        <patternFill patternType="solid">
          <fgColor rgb="FFFF00FF"/>
          <bgColor rgb="FFFF00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24</xdr:row>
      <xdr:rowOff>152400</xdr:rowOff>
    </xdr:from>
    <xdr:ext cx="1581150" cy="914400"/>
    <xdr:pic>
      <xdr:nvPicPr>
        <xdr:cNvPr id="0" name="image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2733675</xdr:colOff>
      <xdr:row>74</xdr:row>
      <xdr:rowOff>971550</xdr:rowOff>
    </xdr:from>
    <xdr:ext cx="1685925" cy="2943225"/>
    <xdr:pic>
      <xdr:nvPicPr>
        <xdr:cNvPr id="0" name="image3.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152400</xdr:colOff>
      <xdr:row>65</xdr:row>
      <xdr:rowOff>152400</xdr:rowOff>
    </xdr:from>
    <xdr:ext cx="1514475" cy="790575"/>
    <xdr:pic>
      <xdr:nvPicPr>
        <xdr:cNvPr id="0" name="image6.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447675</xdr:colOff>
      <xdr:row>178</xdr:row>
      <xdr:rowOff>314325</xdr:rowOff>
    </xdr:from>
    <xdr:ext cx="6638925" cy="590550"/>
    <xdr:pic>
      <xdr:nvPicPr>
        <xdr:cNvPr id="0" name="image2.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214</xdr:row>
      <xdr:rowOff>0</xdr:rowOff>
    </xdr:from>
    <xdr:ext cx="25717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217</xdr:row>
      <xdr:rowOff>0</xdr:rowOff>
    </xdr:from>
    <xdr:ext cx="266700"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ember.roccpa.org.tw/TACCTG/event/detail/26737" TargetMode="External"/><Relationship Id="rId20" Type="http://schemas.openxmlformats.org/officeDocument/2006/relationships/hyperlink" Target="https://member.roccpa.org.tw/TACCTG/event/detail/22433" TargetMode="External"/><Relationship Id="rId41" Type="http://schemas.openxmlformats.org/officeDocument/2006/relationships/drawing" Target="../drawings/drawing1.xml"/><Relationship Id="rId22" Type="http://schemas.openxmlformats.org/officeDocument/2006/relationships/hyperlink" Target="https://member.roccpa.org.tw/TACCTG/event/detail/22451" TargetMode="External"/><Relationship Id="rId21" Type="http://schemas.openxmlformats.org/officeDocument/2006/relationships/hyperlink" Target="https://member.roccpa.org.tw/TACCTG/event/detail/21272" TargetMode="External"/><Relationship Id="rId24" Type="http://schemas.openxmlformats.org/officeDocument/2006/relationships/hyperlink" Target="https://member.roccpa.org.tw/TACCTG/event/view/23136" TargetMode="External"/><Relationship Id="rId23" Type="http://schemas.openxmlformats.org/officeDocument/2006/relationships/hyperlink" Target="https://member.roccpa.org.tw/TACCTG/event/detail/23014" TargetMode="External"/><Relationship Id="rId1" Type="http://schemas.openxmlformats.org/officeDocument/2006/relationships/hyperlink" Target="https://docs.google.com/spreadsheets/d/19iT0S-p4Kg2CBCdDZg4qKbsJc1sh3FSS/edit?usp=drive_link&amp;ouid=102713753116270709990&amp;rtpof=true&amp;sd=true" TargetMode="External"/><Relationship Id="rId2" Type="http://schemas.openxmlformats.org/officeDocument/2006/relationships/hyperlink" Target="https://member.roccpa.org.tw/TACCTG/event/detail/5175" TargetMode="External"/><Relationship Id="rId3" Type="http://schemas.openxmlformats.org/officeDocument/2006/relationships/hyperlink" Target="https://member.roccpa.org.tw/TACCTG/event/detail/5242" TargetMode="External"/><Relationship Id="rId4" Type="http://schemas.openxmlformats.org/officeDocument/2006/relationships/hyperlink" Target="https://member.roccpa.org.tw/TACCTG/event/detail/5436" TargetMode="External"/><Relationship Id="rId9" Type="http://schemas.openxmlformats.org/officeDocument/2006/relationships/hyperlink" Target="https://member.roccpa.org.tw/TACCTG/event/detail/5401" TargetMode="External"/><Relationship Id="rId26" Type="http://schemas.openxmlformats.org/officeDocument/2006/relationships/hyperlink" Target="https://member.roccpa.org.tw/TACCTG/event/detail/23018" TargetMode="External"/><Relationship Id="rId25" Type="http://schemas.openxmlformats.org/officeDocument/2006/relationships/hyperlink" Target="https://member.roccpa.org.tw/TACCTG/event/detail/23456" TargetMode="External"/><Relationship Id="rId28" Type="http://schemas.openxmlformats.org/officeDocument/2006/relationships/hyperlink" Target="https://member.roccpa.org.tw/TACCTG/event/detail/23859" TargetMode="External"/><Relationship Id="rId27" Type="http://schemas.openxmlformats.org/officeDocument/2006/relationships/hyperlink" Target="https://member.roccpa.org.tw/TACCTG/event/detail/22934" TargetMode="External"/><Relationship Id="rId5" Type="http://schemas.openxmlformats.org/officeDocument/2006/relationships/hyperlink" Target="https://member.roccpa.org.tw/TACCTG/event/detail/5432" TargetMode="External"/><Relationship Id="rId6" Type="http://schemas.openxmlformats.org/officeDocument/2006/relationships/hyperlink" Target="https://member.roccpa.org.tw/TACCTG/event/detail/5446" TargetMode="External"/><Relationship Id="rId29" Type="http://schemas.openxmlformats.org/officeDocument/2006/relationships/hyperlink" Target="https://member.roccpa.org.tw/TACCTG/event/detail/23253" TargetMode="External"/><Relationship Id="rId7" Type="http://schemas.openxmlformats.org/officeDocument/2006/relationships/hyperlink" Target="https://member.roccpa.org.tw/TACCTG/event/detail/5180" TargetMode="External"/><Relationship Id="rId8" Type="http://schemas.openxmlformats.org/officeDocument/2006/relationships/hyperlink" Target="https://member.roccpa.org.tw/TACCTG/event/detail/5258" TargetMode="External"/><Relationship Id="rId31" Type="http://schemas.openxmlformats.org/officeDocument/2006/relationships/hyperlink" Target="https://member.roccpa.org.tw/TACCTG/event/view/23903" TargetMode="External"/><Relationship Id="rId30" Type="http://schemas.openxmlformats.org/officeDocument/2006/relationships/hyperlink" Target="https://member.roccpa.org.tw/TACCTG/event/view/23905" TargetMode="External"/><Relationship Id="rId11" Type="http://schemas.openxmlformats.org/officeDocument/2006/relationships/hyperlink" Target="https://member.roccpa.org.tw/TACCTG/event/detail/5341" TargetMode="External"/><Relationship Id="rId33" Type="http://schemas.openxmlformats.org/officeDocument/2006/relationships/hyperlink" Target="https://member.roccpa.org.tw/TACCTG/event/detail/23951" TargetMode="External"/><Relationship Id="rId10" Type="http://schemas.openxmlformats.org/officeDocument/2006/relationships/hyperlink" Target="https://member.roccpa.org.tw/TACCTG/event/detail/5403" TargetMode="External"/><Relationship Id="rId32" Type="http://schemas.openxmlformats.org/officeDocument/2006/relationships/hyperlink" Target="https://member.roccpa.org.tw/TACCTG/event/view/23904" TargetMode="External"/><Relationship Id="rId13" Type="http://schemas.openxmlformats.org/officeDocument/2006/relationships/hyperlink" Target="https://member.roccpa.org.tw/TACCTG/event/detail/5983" TargetMode="External"/><Relationship Id="rId35" Type="http://schemas.openxmlformats.org/officeDocument/2006/relationships/hyperlink" Target="https://member.roccpa.org.tw/TACCTG/event/detail/23898" TargetMode="External"/><Relationship Id="rId12" Type="http://schemas.openxmlformats.org/officeDocument/2006/relationships/hyperlink" Target="https://member.roccpa.org.tw/TACCTG/event/detail/5974" TargetMode="External"/><Relationship Id="rId34" Type="http://schemas.openxmlformats.org/officeDocument/2006/relationships/hyperlink" Target="https://member.roccpa.org.tw/TACCTG/event/view/24129" TargetMode="External"/><Relationship Id="rId15" Type="http://schemas.openxmlformats.org/officeDocument/2006/relationships/hyperlink" Target="https://member.roccpa.org.tw/TACCTG/event/detail/3267" TargetMode="External"/><Relationship Id="rId37" Type="http://schemas.openxmlformats.org/officeDocument/2006/relationships/hyperlink" Target="https://member.roccpa.org.tw/TACCTG/event/detail/23885" TargetMode="External"/><Relationship Id="rId14" Type="http://schemas.openxmlformats.org/officeDocument/2006/relationships/hyperlink" Target="https://member.roccpa.org.tw/TACCTG/event/detail/5472" TargetMode="External"/><Relationship Id="rId36" Type="http://schemas.openxmlformats.org/officeDocument/2006/relationships/hyperlink" Target="https://member.roccpa.org.tw/TACCTG/event/detail/23895" TargetMode="External"/><Relationship Id="rId17" Type="http://schemas.openxmlformats.org/officeDocument/2006/relationships/hyperlink" Target="https://member.roccpa.org.tw/TACCTG/event/detail/9492" TargetMode="External"/><Relationship Id="rId39" Type="http://schemas.openxmlformats.org/officeDocument/2006/relationships/hyperlink" Target="https://member.roccpa.org.tw/TACCTG/event/detail/24505" TargetMode="External"/><Relationship Id="rId16" Type="http://schemas.openxmlformats.org/officeDocument/2006/relationships/hyperlink" Target="https://member.roccpa.org.tw/TACCTG/event/detail/9498" TargetMode="External"/><Relationship Id="rId38" Type="http://schemas.openxmlformats.org/officeDocument/2006/relationships/hyperlink" Target="https://member.roccpa.org.tw/TACCTG/event/detail/24506" TargetMode="External"/><Relationship Id="rId19" Type="http://schemas.openxmlformats.org/officeDocument/2006/relationships/hyperlink" Target="https://member.roccpa.org.tw/TACCTG/event/detail/22937" TargetMode="External"/><Relationship Id="rId18" Type="http://schemas.openxmlformats.org/officeDocument/2006/relationships/hyperlink" Target="https://member.roccpa.org.tw/TACCTG/event/detail/949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3" max="3" width="10.63"/>
    <col customWidth="1" min="4" max="4" width="101.75"/>
    <col customWidth="1" hidden="1" min="5" max="5" width="20.88"/>
    <col customWidth="1" hidden="1" min="6" max="6" width="49.75"/>
    <col customWidth="1" hidden="1" min="7" max="7" width="39.5"/>
    <col customWidth="1" min="10" max="10" width="9.5"/>
    <col customWidth="1" min="11" max="11" width="37.38"/>
    <col customWidth="1" min="18" max="18" width="37.75"/>
  </cols>
  <sheetData>
    <row r="1" ht="60.75" customHeight="1">
      <c r="A1" s="1" t="s">
        <v>0</v>
      </c>
      <c r="B1" s="2" t="s">
        <v>1</v>
      </c>
      <c r="C1" s="3" t="s">
        <v>2</v>
      </c>
      <c r="D1" s="3" t="s">
        <v>3</v>
      </c>
      <c r="E1" s="4" t="s">
        <v>4</v>
      </c>
      <c r="F1" s="5" t="s">
        <v>5</v>
      </c>
      <c r="G1" s="3" t="s">
        <v>6</v>
      </c>
      <c r="H1" s="6" t="s">
        <v>7</v>
      </c>
      <c r="I1" s="7" t="s">
        <v>8</v>
      </c>
      <c r="J1" s="8" t="s">
        <v>9</v>
      </c>
      <c r="K1" s="9" t="s">
        <v>10</v>
      </c>
      <c r="L1" s="10" t="s">
        <v>11</v>
      </c>
      <c r="M1" s="11" t="s">
        <v>12</v>
      </c>
      <c r="N1" s="10" t="s">
        <v>13</v>
      </c>
      <c r="O1" s="10" t="s">
        <v>14</v>
      </c>
      <c r="P1" s="12" t="s">
        <v>15</v>
      </c>
      <c r="Q1" s="5" t="s">
        <v>16</v>
      </c>
      <c r="R1" s="5" t="s">
        <v>17</v>
      </c>
      <c r="S1" s="13" t="s">
        <v>18</v>
      </c>
      <c r="T1" s="5" t="s">
        <v>19</v>
      </c>
      <c r="U1" s="14"/>
      <c r="W1" s="15"/>
      <c r="X1" s="15"/>
      <c r="Y1" s="15"/>
      <c r="Z1" s="15"/>
      <c r="AA1" s="15"/>
      <c r="AB1" s="15"/>
      <c r="AC1" s="15"/>
      <c r="AD1" s="15"/>
      <c r="AE1" s="15"/>
      <c r="AF1" s="15"/>
      <c r="AG1" s="15"/>
      <c r="AH1" s="15"/>
    </row>
    <row r="2">
      <c r="A2" s="16">
        <f t="shared" ref="A2:A1557" si="1">IF(B2="","",ROW(B2)-1)</f>
        <v>1</v>
      </c>
      <c r="B2" s="17">
        <v>45139.0</v>
      </c>
      <c r="C2" s="18" t="s">
        <v>20</v>
      </c>
      <c r="D2" s="19" t="s">
        <v>21</v>
      </c>
      <c r="E2" s="18"/>
      <c r="G2" s="18" t="s">
        <v>22</v>
      </c>
      <c r="H2" s="20" t="s">
        <v>23</v>
      </c>
      <c r="I2" s="18" t="s">
        <v>24</v>
      </c>
      <c r="J2" s="21"/>
      <c r="K2" s="22"/>
      <c r="L2" s="23"/>
      <c r="M2" s="23"/>
      <c r="N2" s="23"/>
      <c r="O2" s="23"/>
    </row>
    <row r="3">
      <c r="A3" s="16">
        <f t="shared" si="1"/>
        <v>2</v>
      </c>
      <c r="B3" s="17">
        <v>45138.0</v>
      </c>
      <c r="C3" s="18" t="s">
        <v>25</v>
      </c>
      <c r="D3" s="24" t="s">
        <v>26</v>
      </c>
      <c r="H3" s="18" t="s">
        <v>27</v>
      </c>
      <c r="I3" s="18" t="s">
        <v>24</v>
      </c>
      <c r="J3" s="24" t="s">
        <v>25</v>
      </c>
      <c r="K3" s="24" t="s">
        <v>28</v>
      </c>
      <c r="L3" s="23"/>
      <c r="M3" s="23"/>
      <c r="N3" s="23"/>
      <c r="O3" s="17">
        <v>45141.0</v>
      </c>
    </row>
    <row r="4">
      <c r="A4" s="16">
        <f t="shared" si="1"/>
        <v>3</v>
      </c>
      <c r="B4" s="17">
        <v>45138.0</v>
      </c>
      <c r="C4" s="18" t="s">
        <v>29</v>
      </c>
      <c r="D4" s="24" t="s">
        <v>30</v>
      </c>
      <c r="H4" s="18" t="s">
        <v>31</v>
      </c>
      <c r="I4" s="18" t="s">
        <v>24</v>
      </c>
      <c r="J4" s="24" t="s">
        <v>32</v>
      </c>
      <c r="K4" s="22"/>
      <c r="L4" s="23"/>
      <c r="M4" s="23"/>
      <c r="N4" s="23"/>
      <c r="O4" s="23"/>
      <c r="T4" s="25" t="s">
        <v>33</v>
      </c>
    </row>
    <row r="5">
      <c r="A5" s="16">
        <f t="shared" si="1"/>
        <v>4</v>
      </c>
      <c r="B5" s="17">
        <v>45138.0</v>
      </c>
      <c r="C5" s="18" t="s">
        <v>29</v>
      </c>
      <c r="D5" s="24" t="s">
        <v>34</v>
      </c>
      <c r="H5" s="18" t="s">
        <v>27</v>
      </c>
      <c r="I5" s="18" t="s">
        <v>24</v>
      </c>
      <c r="J5" s="24" t="s">
        <v>32</v>
      </c>
      <c r="K5" s="24"/>
      <c r="L5" s="23"/>
      <c r="M5" s="23"/>
      <c r="N5" s="23"/>
      <c r="O5" s="23"/>
    </row>
    <row r="6">
      <c r="A6" s="16">
        <f t="shared" si="1"/>
        <v>5</v>
      </c>
      <c r="B6" s="17">
        <v>45138.0</v>
      </c>
      <c r="C6" s="18" t="s">
        <v>29</v>
      </c>
      <c r="D6" s="24" t="s">
        <v>35</v>
      </c>
      <c r="H6" s="18" t="s">
        <v>27</v>
      </c>
      <c r="I6" s="18" t="s">
        <v>24</v>
      </c>
      <c r="J6" s="24" t="s">
        <v>36</v>
      </c>
      <c r="K6" s="22"/>
      <c r="L6" s="23"/>
      <c r="M6" s="23"/>
      <c r="N6" s="23"/>
      <c r="O6" s="23"/>
    </row>
    <row r="7">
      <c r="A7" s="16">
        <f t="shared" si="1"/>
        <v>6</v>
      </c>
      <c r="B7" s="17">
        <v>45138.0</v>
      </c>
      <c r="C7" s="18" t="s">
        <v>29</v>
      </c>
      <c r="D7" s="24" t="s">
        <v>37</v>
      </c>
      <c r="H7" s="18" t="s">
        <v>27</v>
      </c>
      <c r="I7" s="18" t="s">
        <v>24</v>
      </c>
      <c r="J7" s="24" t="s">
        <v>25</v>
      </c>
      <c r="K7" s="24" t="s">
        <v>38</v>
      </c>
      <c r="L7" s="23"/>
      <c r="M7" s="23"/>
      <c r="N7" s="23"/>
      <c r="O7" s="23"/>
      <c r="T7" s="25"/>
    </row>
    <row r="8">
      <c r="A8" s="16">
        <f t="shared" si="1"/>
        <v>7</v>
      </c>
      <c r="B8" s="17">
        <v>45146.0</v>
      </c>
      <c r="C8" s="18" t="s">
        <v>39</v>
      </c>
      <c r="D8" s="24" t="s">
        <v>40</v>
      </c>
      <c r="G8" s="18" t="s">
        <v>22</v>
      </c>
      <c r="H8" s="18" t="s">
        <v>27</v>
      </c>
      <c r="I8" s="18" t="s">
        <v>24</v>
      </c>
      <c r="J8" s="24" t="s">
        <v>41</v>
      </c>
      <c r="K8" s="22"/>
      <c r="L8" s="23"/>
      <c r="M8" s="23"/>
      <c r="N8" s="23"/>
      <c r="O8" s="23"/>
      <c r="P8" s="26">
        <v>45219.0</v>
      </c>
      <c r="R8" s="18" t="s">
        <v>42</v>
      </c>
    </row>
    <row r="9">
      <c r="A9" s="16">
        <f t="shared" si="1"/>
        <v>8</v>
      </c>
      <c r="B9" s="17">
        <v>45146.0</v>
      </c>
      <c r="C9" s="18" t="s">
        <v>39</v>
      </c>
      <c r="D9" s="24" t="s">
        <v>43</v>
      </c>
      <c r="H9" s="18" t="s">
        <v>27</v>
      </c>
      <c r="I9" s="18" t="s">
        <v>24</v>
      </c>
      <c r="J9" s="24" t="s">
        <v>25</v>
      </c>
      <c r="K9" s="22"/>
      <c r="L9" s="23"/>
      <c r="M9" s="23"/>
      <c r="N9" s="23"/>
      <c r="O9" s="23"/>
    </row>
    <row r="10">
      <c r="A10" s="16">
        <f t="shared" si="1"/>
        <v>9</v>
      </c>
      <c r="B10" s="17">
        <v>45146.0</v>
      </c>
      <c r="C10" s="18" t="s">
        <v>44</v>
      </c>
      <c r="D10" s="24" t="s">
        <v>45</v>
      </c>
      <c r="H10" s="18" t="s">
        <v>46</v>
      </c>
      <c r="I10" s="16"/>
      <c r="J10" s="22"/>
      <c r="K10" s="24" t="s">
        <v>47</v>
      </c>
      <c r="L10" s="23"/>
      <c r="M10" s="23"/>
      <c r="N10" s="23"/>
      <c r="O10" s="23"/>
      <c r="T10" s="25"/>
    </row>
    <row r="11">
      <c r="A11" s="16">
        <f t="shared" si="1"/>
        <v>10</v>
      </c>
      <c r="B11" s="17">
        <v>45146.0</v>
      </c>
      <c r="C11" s="18" t="s">
        <v>39</v>
      </c>
      <c r="D11" s="24" t="s">
        <v>48</v>
      </c>
      <c r="H11" s="18" t="s">
        <v>27</v>
      </c>
      <c r="I11" s="18" t="s">
        <v>24</v>
      </c>
      <c r="J11" s="24" t="s">
        <v>25</v>
      </c>
      <c r="K11" s="22"/>
      <c r="L11" s="23"/>
      <c r="M11" s="23"/>
      <c r="N11" s="23"/>
      <c r="O11" s="23"/>
      <c r="P11" s="26">
        <v>45219.0</v>
      </c>
      <c r="R11" s="18" t="s">
        <v>49</v>
      </c>
      <c r="T11" s="25"/>
    </row>
    <row r="12">
      <c r="A12" s="16">
        <f t="shared" si="1"/>
        <v>11</v>
      </c>
      <c r="B12" s="17">
        <v>45146.0</v>
      </c>
      <c r="C12" s="18" t="s">
        <v>39</v>
      </c>
      <c r="D12" s="24" t="s">
        <v>50</v>
      </c>
      <c r="H12" s="18" t="s">
        <v>27</v>
      </c>
      <c r="I12" s="18" t="s">
        <v>24</v>
      </c>
      <c r="J12" s="24" t="s">
        <v>25</v>
      </c>
      <c r="K12" s="22"/>
      <c r="L12" s="23"/>
      <c r="M12" s="23"/>
      <c r="N12" s="23"/>
      <c r="O12" s="23"/>
      <c r="T12" s="25"/>
    </row>
    <row r="13">
      <c r="A13" s="16">
        <f t="shared" si="1"/>
        <v>12</v>
      </c>
      <c r="B13" s="17">
        <v>45146.0</v>
      </c>
      <c r="C13" s="18" t="s">
        <v>39</v>
      </c>
      <c r="D13" s="24" t="s">
        <v>51</v>
      </c>
      <c r="H13" s="18" t="s">
        <v>27</v>
      </c>
      <c r="I13" s="18" t="s">
        <v>24</v>
      </c>
      <c r="J13" s="24" t="s">
        <v>41</v>
      </c>
      <c r="K13" s="22"/>
      <c r="L13" s="23"/>
      <c r="M13" s="23"/>
      <c r="N13" s="23"/>
      <c r="O13" s="23"/>
    </row>
    <row r="14">
      <c r="A14" s="16">
        <f t="shared" si="1"/>
        <v>13</v>
      </c>
      <c r="B14" s="17">
        <v>45146.0</v>
      </c>
      <c r="C14" s="18" t="s">
        <v>39</v>
      </c>
      <c r="D14" s="24" t="s">
        <v>52</v>
      </c>
      <c r="H14" s="18" t="s">
        <v>27</v>
      </c>
      <c r="I14" s="18" t="s">
        <v>24</v>
      </c>
      <c r="J14" s="24" t="s">
        <v>41</v>
      </c>
      <c r="K14" s="22"/>
      <c r="L14" s="23"/>
      <c r="M14" s="23"/>
      <c r="N14" s="23"/>
      <c r="O14" s="23"/>
      <c r="T14" s="25"/>
    </row>
    <row r="15">
      <c r="A15" s="16">
        <f t="shared" si="1"/>
        <v>14</v>
      </c>
      <c r="B15" s="17">
        <v>45155.0</v>
      </c>
      <c r="C15" s="18" t="s">
        <v>53</v>
      </c>
      <c r="D15" s="24" t="s">
        <v>54</v>
      </c>
      <c r="H15" s="18" t="s">
        <v>27</v>
      </c>
      <c r="I15" s="18" t="s">
        <v>24</v>
      </c>
      <c r="J15" s="24" t="s">
        <v>25</v>
      </c>
      <c r="K15" s="22"/>
      <c r="L15" s="23"/>
      <c r="M15" s="23"/>
      <c r="N15" s="23"/>
      <c r="O15" s="23"/>
    </row>
    <row r="16">
      <c r="A16" s="16">
        <f t="shared" si="1"/>
        <v>15</v>
      </c>
      <c r="B16" s="17">
        <v>45155.0</v>
      </c>
      <c r="C16" s="18" t="s">
        <v>53</v>
      </c>
      <c r="D16" s="27" t="s">
        <v>55</v>
      </c>
      <c r="H16" s="18" t="s">
        <v>27</v>
      </c>
      <c r="I16" s="18" t="s">
        <v>24</v>
      </c>
      <c r="J16" s="24" t="s">
        <v>25</v>
      </c>
      <c r="K16" s="22"/>
      <c r="L16" s="23"/>
      <c r="M16" s="23"/>
      <c r="N16" s="23"/>
      <c r="O16" s="23"/>
      <c r="T16" s="25"/>
    </row>
    <row r="17">
      <c r="A17" s="16">
        <f t="shared" si="1"/>
        <v>16</v>
      </c>
      <c r="B17" s="17">
        <v>45155.0</v>
      </c>
      <c r="C17" s="18" t="s">
        <v>53</v>
      </c>
      <c r="D17" s="18" t="s">
        <v>56</v>
      </c>
      <c r="H17" s="18" t="s">
        <v>27</v>
      </c>
      <c r="I17" s="18" t="s">
        <v>24</v>
      </c>
      <c r="J17" s="24" t="s">
        <v>25</v>
      </c>
      <c r="K17" s="24"/>
      <c r="L17" s="23"/>
      <c r="M17" s="23"/>
      <c r="N17" s="23"/>
      <c r="O17" s="23"/>
    </row>
    <row r="18">
      <c r="A18" s="16">
        <f t="shared" si="1"/>
        <v>17</v>
      </c>
      <c r="B18" s="17">
        <v>45155.0</v>
      </c>
      <c r="C18" s="18" t="s">
        <v>53</v>
      </c>
      <c r="D18" s="24" t="s">
        <v>57</v>
      </c>
      <c r="H18" s="18" t="s">
        <v>27</v>
      </c>
      <c r="I18" s="18" t="s">
        <v>24</v>
      </c>
      <c r="J18" s="24" t="s">
        <v>25</v>
      </c>
      <c r="K18" s="22"/>
      <c r="L18" s="23"/>
      <c r="M18" s="23"/>
      <c r="N18" s="23"/>
      <c r="O18" s="23"/>
    </row>
    <row r="19">
      <c r="A19" s="16">
        <f t="shared" si="1"/>
        <v>18</v>
      </c>
      <c r="B19" s="17">
        <v>45156.0</v>
      </c>
      <c r="C19" s="18" t="s">
        <v>29</v>
      </c>
      <c r="D19" s="24" t="s">
        <v>58</v>
      </c>
      <c r="H19" s="18" t="s">
        <v>27</v>
      </c>
      <c r="I19" s="18" t="s">
        <v>24</v>
      </c>
      <c r="J19" s="24" t="s">
        <v>25</v>
      </c>
      <c r="K19" s="24"/>
      <c r="L19" s="23"/>
      <c r="M19" s="23"/>
      <c r="N19" s="23"/>
      <c r="O19" s="23"/>
    </row>
    <row r="20">
      <c r="A20" s="16">
        <f t="shared" si="1"/>
        <v>19</v>
      </c>
      <c r="B20" s="28">
        <v>45156.0</v>
      </c>
      <c r="C20" s="18" t="s">
        <v>39</v>
      </c>
      <c r="D20" s="24" t="s">
        <v>59</v>
      </c>
      <c r="H20" s="18" t="s">
        <v>27</v>
      </c>
      <c r="I20" s="18" t="s">
        <v>24</v>
      </c>
      <c r="J20" s="24" t="s">
        <v>41</v>
      </c>
      <c r="K20" s="22"/>
      <c r="L20" s="23"/>
      <c r="M20" s="23"/>
      <c r="N20" s="23"/>
      <c r="O20" s="23"/>
    </row>
    <row r="21">
      <c r="A21" s="16">
        <f t="shared" si="1"/>
        <v>20</v>
      </c>
      <c r="B21" s="28">
        <v>45159.0</v>
      </c>
      <c r="C21" s="18" t="s">
        <v>60</v>
      </c>
      <c r="D21" s="24" t="s">
        <v>61</v>
      </c>
      <c r="H21" s="18" t="s">
        <v>27</v>
      </c>
      <c r="I21" s="18" t="s">
        <v>24</v>
      </c>
      <c r="J21" s="24" t="s">
        <v>62</v>
      </c>
      <c r="K21" s="22"/>
      <c r="L21" s="23"/>
      <c r="M21" s="23"/>
      <c r="N21" s="23"/>
      <c r="O21" s="23"/>
    </row>
    <row r="22">
      <c r="A22" s="16">
        <f t="shared" si="1"/>
        <v>21</v>
      </c>
      <c r="B22" s="28">
        <v>45159.0</v>
      </c>
      <c r="C22" s="18" t="s">
        <v>60</v>
      </c>
      <c r="D22" s="24" t="s">
        <v>63</v>
      </c>
      <c r="G22" s="18" t="s">
        <v>64</v>
      </c>
      <c r="H22" s="18" t="s">
        <v>27</v>
      </c>
      <c r="I22" s="18" t="s">
        <v>65</v>
      </c>
      <c r="J22" s="24" t="s">
        <v>66</v>
      </c>
      <c r="K22" s="24" t="s">
        <v>67</v>
      </c>
      <c r="L22" s="23"/>
      <c r="M22" s="23"/>
      <c r="N22" s="23"/>
      <c r="O22" s="23"/>
    </row>
    <row r="23">
      <c r="A23" s="16">
        <f t="shared" si="1"/>
        <v>22</v>
      </c>
      <c r="B23" s="28">
        <v>45159.0</v>
      </c>
      <c r="C23" s="18" t="s">
        <v>60</v>
      </c>
      <c r="D23" s="24" t="s">
        <v>68</v>
      </c>
      <c r="H23" s="18" t="s">
        <v>27</v>
      </c>
      <c r="I23" s="18" t="s">
        <v>24</v>
      </c>
      <c r="J23" s="22"/>
      <c r="K23" s="22"/>
      <c r="L23" s="23"/>
      <c r="M23" s="23"/>
      <c r="N23" s="23"/>
      <c r="O23" s="23"/>
    </row>
    <row r="24">
      <c r="A24" s="16">
        <f t="shared" si="1"/>
        <v>23</v>
      </c>
      <c r="B24" s="28">
        <v>45159.0</v>
      </c>
      <c r="C24" s="18" t="s">
        <v>60</v>
      </c>
      <c r="D24" s="24" t="s">
        <v>69</v>
      </c>
      <c r="H24" s="18" t="s">
        <v>27</v>
      </c>
      <c r="I24" s="18" t="s">
        <v>24</v>
      </c>
      <c r="J24" s="24" t="s">
        <v>25</v>
      </c>
      <c r="K24" s="22"/>
      <c r="L24" s="23"/>
      <c r="M24" s="23"/>
      <c r="N24" s="23"/>
      <c r="O24" s="23"/>
    </row>
    <row r="25">
      <c r="A25" s="16">
        <f t="shared" si="1"/>
        <v>24</v>
      </c>
      <c r="B25" s="28">
        <v>45159.0</v>
      </c>
      <c r="C25" s="18" t="s">
        <v>60</v>
      </c>
      <c r="D25" s="24" t="s">
        <v>70</v>
      </c>
      <c r="H25" s="18" t="s">
        <v>27</v>
      </c>
      <c r="I25" s="18" t="s">
        <v>24</v>
      </c>
      <c r="J25" s="24" t="s">
        <v>25</v>
      </c>
      <c r="K25" s="22"/>
      <c r="L25" s="23"/>
      <c r="M25" s="23"/>
      <c r="N25" s="23"/>
      <c r="O25" s="23"/>
    </row>
    <row r="26">
      <c r="A26" s="16">
        <f t="shared" si="1"/>
        <v>25</v>
      </c>
      <c r="B26" s="28">
        <v>45159.0</v>
      </c>
      <c r="C26" s="18" t="s">
        <v>60</v>
      </c>
      <c r="H26" s="18" t="s">
        <v>71</v>
      </c>
      <c r="I26" s="18" t="s">
        <v>24</v>
      </c>
      <c r="J26" s="24" t="s">
        <v>25</v>
      </c>
      <c r="K26" s="22"/>
      <c r="L26" s="23"/>
      <c r="M26" s="23"/>
      <c r="N26" s="23"/>
      <c r="O26" s="23"/>
    </row>
    <row r="27">
      <c r="A27" s="16">
        <f t="shared" si="1"/>
        <v>26</v>
      </c>
      <c r="B27" s="28">
        <v>45159.0</v>
      </c>
      <c r="C27" s="18" t="s">
        <v>60</v>
      </c>
      <c r="D27" s="24" t="s">
        <v>72</v>
      </c>
      <c r="H27" s="18" t="s">
        <v>27</v>
      </c>
      <c r="I27" s="18" t="s">
        <v>24</v>
      </c>
      <c r="J27" s="24" t="s">
        <v>25</v>
      </c>
      <c r="K27" s="22"/>
      <c r="L27" s="23"/>
      <c r="M27" s="23"/>
      <c r="N27" s="23"/>
      <c r="O27" s="23"/>
    </row>
    <row r="28">
      <c r="A28" s="16">
        <f t="shared" si="1"/>
        <v>27</v>
      </c>
      <c r="B28" s="28">
        <v>45159.0</v>
      </c>
      <c r="C28" s="18" t="s">
        <v>60</v>
      </c>
      <c r="D28" s="24" t="s">
        <v>73</v>
      </c>
      <c r="H28" s="18" t="s">
        <v>27</v>
      </c>
      <c r="I28" s="18" t="s">
        <v>24</v>
      </c>
      <c r="J28" s="24" t="s">
        <v>25</v>
      </c>
      <c r="K28" s="22"/>
      <c r="L28" s="23"/>
      <c r="M28" s="23"/>
      <c r="N28" s="23"/>
      <c r="O28" s="23"/>
    </row>
    <row r="29">
      <c r="A29" s="16">
        <f t="shared" si="1"/>
        <v>28</v>
      </c>
      <c r="B29" s="28">
        <v>45159.0</v>
      </c>
      <c r="C29" s="18" t="s">
        <v>60</v>
      </c>
      <c r="D29" s="24" t="s">
        <v>74</v>
      </c>
      <c r="H29" s="18" t="s">
        <v>27</v>
      </c>
      <c r="I29" s="18" t="s">
        <v>24</v>
      </c>
      <c r="J29" s="24" t="s">
        <v>25</v>
      </c>
      <c r="K29" s="18" t="s">
        <v>75</v>
      </c>
      <c r="L29" s="23"/>
      <c r="M29" s="23"/>
      <c r="N29" s="23"/>
      <c r="O29" s="23"/>
    </row>
    <row r="30">
      <c r="A30" s="16">
        <f t="shared" si="1"/>
        <v>29</v>
      </c>
      <c r="B30" s="28">
        <v>45159.0</v>
      </c>
      <c r="C30" s="18" t="s">
        <v>60</v>
      </c>
      <c r="D30" s="24" t="s">
        <v>76</v>
      </c>
      <c r="H30" s="18" t="s">
        <v>27</v>
      </c>
      <c r="I30" s="18" t="s">
        <v>65</v>
      </c>
      <c r="J30" s="24" t="s">
        <v>25</v>
      </c>
      <c r="K30" s="22"/>
      <c r="L30" s="23"/>
      <c r="M30" s="23"/>
      <c r="N30" s="23"/>
      <c r="O30" s="23"/>
    </row>
    <row r="31">
      <c r="A31" s="16">
        <f t="shared" si="1"/>
        <v>30</v>
      </c>
      <c r="B31" s="28">
        <v>45159.0</v>
      </c>
      <c r="C31" s="18" t="s">
        <v>60</v>
      </c>
      <c r="D31" s="24" t="s">
        <v>77</v>
      </c>
      <c r="H31" s="18" t="s">
        <v>27</v>
      </c>
      <c r="I31" s="18" t="s">
        <v>24</v>
      </c>
      <c r="J31" s="24" t="s">
        <v>78</v>
      </c>
      <c r="K31" s="22"/>
      <c r="L31" s="23"/>
      <c r="M31" s="23"/>
      <c r="N31" s="23"/>
      <c r="O31" s="23"/>
    </row>
    <row r="32">
      <c r="A32" s="16">
        <f t="shared" si="1"/>
        <v>31</v>
      </c>
      <c r="B32" s="28">
        <v>45159.0</v>
      </c>
      <c r="C32" s="18" t="s">
        <v>60</v>
      </c>
      <c r="D32" s="24" t="s">
        <v>79</v>
      </c>
      <c r="H32" s="18" t="s">
        <v>27</v>
      </c>
      <c r="I32" s="18" t="s">
        <v>24</v>
      </c>
      <c r="J32" s="24" t="s">
        <v>78</v>
      </c>
      <c r="K32" s="22"/>
      <c r="L32" s="23"/>
      <c r="M32" s="23"/>
      <c r="N32" s="23"/>
      <c r="O32" s="23"/>
    </row>
    <row r="33">
      <c r="A33" s="16">
        <f t="shared" si="1"/>
        <v>32</v>
      </c>
      <c r="B33" s="28">
        <v>45159.0</v>
      </c>
      <c r="C33" s="18" t="s">
        <v>60</v>
      </c>
      <c r="D33" s="24" t="s">
        <v>80</v>
      </c>
      <c r="H33" s="18" t="s">
        <v>27</v>
      </c>
      <c r="I33" s="18" t="s">
        <v>65</v>
      </c>
      <c r="J33" s="24" t="s">
        <v>66</v>
      </c>
      <c r="K33" s="22"/>
      <c r="L33" s="23"/>
      <c r="M33" s="23"/>
      <c r="N33" s="23"/>
      <c r="O33" s="23"/>
    </row>
    <row r="34">
      <c r="A34" s="16">
        <f t="shared" si="1"/>
        <v>33</v>
      </c>
      <c r="B34" s="28">
        <v>45159.0</v>
      </c>
      <c r="C34" s="18" t="s">
        <v>60</v>
      </c>
      <c r="D34" s="24" t="s">
        <v>81</v>
      </c>
      <c r="H34" s="18" t="s">
        <v>27</v>
      </c>
      <c r="I34" s="18" t="s">
        <v>24</v>
      </c>
      <c r="J34" s="24" t="s">
        <v>78</v>
      </c>
      <c r="K34" s="22"/>
      <c r="L34" s="23"/>
      <c r="M34" s="23"/>
      <c r="N34" s="23"/>
      <c r="O34" s="23"/>
    </row>
    <row r="35">
      <c r="A35" s="16">
        <f t="shared" si="1"/>
        <v>34</v>
      </c>
      <c r="B35" s="28">
        <v>45159.0</v>
      </c>
      <c r="C35" s="18" t="s">
        <v>60</v>
      </c>
      <c r="D35" s="24" t="s">
        <v>82</v>
      </c>
      <c r="H35" s="18" t="s">
        <v>27</v>
      </c>
      <c r="I35" s="18" t="s">
        <v>24</v>
      </c>
      <c r="J35" s="24" t="s">
        <v>78</v>
      </c>
      <c r="K35" s="22"/>
      <c r="L35" s="23"/>
      <c r="M35" s="23"/>
      <c r="N35" s="23"/>
      <c r="O35" s="23"/>
    </row>
    <row r="36">
      <c r="A36" s="16">
        <f t="shared" si="1"/>
        <v>35</v>
      </c>
      <c r="B36" s="28">
        <v>45159.0</v>
      </c>
      <c r="C36" s="18" t="s">
        <v>60</v>
      </c>
      <c r="D36" s="24" t="s">
        <v>83</v>
      </c>
      <c r="G36" s="18" t="s">
        <v>84</v>
      </c>
      <c r="H36" s="18" t="s">
        <v>27</v>
      </c>
      <c r="I36" s="18" t="s">
        <v>65</v>
      </c>
      <c r="J36" s="24" t="s">
        <v>78</v>
      </c>
      <c r="K36" s="24" t="s">
        <v>85</v>
      </c>
      <c r="L36" s="23"/>
      <c r="M36" s="23"/>
      <c r="N36" s="23"/>
      <c r="O36" s="23"/>
    </row>
    <row r="37">
      <c r="A37" s="16">
        <f t="shared" si="1"/>
        <v>36</v>
      </c>
      <c r="B37" s="28">
        <v>45159.0</v>
      </c>
      <c r="C37" s="18" t="s">
        <v>60</v>
      </c>
      <c r="D37" s="24" t="s">
        <v>86</v>
      </c>
      <c r="H37" s="18" t="s">
        <v>27</v>
      </c>
      <c r="I37" s="18" t="s">
        <v>24</v>
      </c>
      <c r="J37" s="24" t="s">
        <v>78</v>
      </c>
      <c r="K37" s="22"/>
      <c r="L37" s="23"/>
      <c r="M37" s="23"/>
      <c r="N37" s="23"/>
      <c r="O37" s="23"/>
    </row>
    <row r="38">
      <c r="A38" s="16">
        <f t="shared" si="1"/>
        <v>37</v>
      </c>
      <c r="B38" s="28">
        <v>45159.0</v>
      </c>
      <c r="C38" s="18" t="s">
        <v>87</v>
      </c>
      <c r="D38" s="24" t="s">
        <v>88</v>
      </c>
      <c r="H38" s="18" t="s">
        <v>46</v>
      </c>
      <c r="I38" s="16"/>
      <c r="J38" s="24"/>
      <c r="K38" s="22"/>
      <c r="L38" s="23"/>
      <c r="M38" s="23"/>
      <c r="N38" s="23"/>
      <c r="O38" s="23"/>
    </row>
    <row r="39">
      <c r="A39" s="16">
        <f t="shared" si="1"/>
        <v>38</v>
      </c>
      <c r="B39" s="28">
        <v>45162.0</v>
      </c>
      <c r="C39" s="18" t="s">
        <v>89</v>
      </c>
      <c r="D39" s="24" t="s">
        <v>90</v>
      </c>
      <c r="H39" s="18" t="s">
        <v>46</v>
      </c>
      <c r="I39" s="16"/>
      <c r="J39" s="22"/>
      <c r="K39" s="22"/>
      <c r="L39" s="23"/>
      <c r="M39" s="23"/>
      <c r="N39" s="23"/>
      <c r="O39" s="23"/>
    </row>
    <row r="40">
      <c r="A40" s="16">
        <f t="shared" si="1"/>
        <v>39</v>
      </c>
      <c r="B40" s="28">
        <v>45162.0</v>
      </c>
      <c r="C40" s="18" t="s">
        <v>20</v>
      </c>
      <c r="D40" s="24" t="s">
        <v>91</v>
      </c>
      <c r="H40" s="18" t="s">
        <v>46</v>
      </c>
      <c r="I40" s="16"/>
      <c r="J40" s="22"/>
      <c r="K40" s="22"/>
      <c r="L40" s="23"/>
      <c r="M40" s="23"/>
      <c r="N40" s="23"/>
      <c r="O40" s="23"/>
    </row>
    <row r="41">
      <c r="A41" s="16">
        <f t="shared" si="1"/>
        <v>40</v>
      </c>
      <c r="B41" s="28">
        <v>45162.0</v>
      </c>
      <c r="C41" s="18" t="s">
        <v>92</v>
      </c>
      <c r="D41" s="18" t="s">
        <v>93</v>
      </c>
      <c r="H41" s="18" t="s">
        <v>27</v>
      </c>
      <c r="I41" s="18" t="s">
        <v>24</v>
      </c>
      <c r="J41" s="29" t="s">
        <v>62</v>
      </c>
      <c r="K41" s="22"/>
      <c r="L41" s="23"/>
      <c r="M41" s="23"/>
      <c r="N41" s="23"/>
      <c r="O41" s="23"/>
    </row>
    <row r="42">
      <c r="A42" s="16">
        <f t="shared" si="1"/>
        <v>41</v>
      </c>
      <c r="B42" s="28">
        <v>45162.0</v>
      </c>
      <c r="C42" s="18" t="s">
        <v>92</v>
      </c>
      <c r="D42" s="18" t="s">
        <v>94</v>
      </c>
      <c r="H42" s="18" t="s">
        <v>27</v>
      </c>
      <c r="I42" s="18" t="s">
        <v>24</v>
      </c>
      <c r="J42" s="24" t="s">
        <v>25</v>
      </c>
      <c r="K42" s="22"/>
      <c r="L42" s="23"/>
      <c r="M42" s="23"/>
      <c r="N42" s="23"/>
      <c r="O42" s="23"/>
    </row>
    <row r="43">
      <c r="A43" s="16">
        <f t="shared" si="1"/>
        <v>42</v>
      </c>
      <c r="B43" s="28">
        <v>45162.0</v>
      </c>
      <c r="C43" s="18" t="s">
        <v>92</v>
      </c>
      <c r="D43" s="18" t="s">
        <v>95</v>
      </c>
      <c r="H43" s="18" t="s">
        <v>27</v>
      </c>
      <c r="I43" s="18" t="s">
        <v>24</v>
      </c>
      <c r="J43" s="29" t="s">
        <v>62</v>
      </c>
      <c r="K43" s="22"/>
      <c r="L43" s="23"/>
      <c r="M43" s="23"/>
      <c r="N43" s="23"/>
      <c r="O43" s="23"/>
    </row>
    <row r="44">
      <c r="A44" s="16">
        <f t="shared" si="1"/>
        <v>43</v>
      </c>
      <c r="B44" s="28">
        <v>45162.0</v>
      </c>
      <c r="C44" s="18" t="s">
        <v>92</v>
      </c>
      <c r="D44" s="18" t="s">
        <v>96</v>
      </c>
      <c r="H44" s="18" t="s">
        <v>27</v>
      </c>
      <c r="I44" s="18" t="s">
        <v>24</v>
      </c>
      <c r="J44" s="24" t="s">
        <v>78</v>
      </c>
      <c r="K44" s="22"/>
      <c r="L44" s="23"/>
      <c r="M44" s="23"/>
      <c r="N44" s="23"/>
      <c r="O44" s="23"/>
    </row>
    <row r="45">
      <c r="A45" s="16">
        <f t="shared" si="1"/>
        <v>44</v>
      </c>
      <c r="B45" s="28">
        <v>45162.0</v>
      </c>
      <c r="C45" s="18" t="s">
        <v>92</v>
      </c>
      <c r="D45" s="30" t="s">
        <v>97</v>
      </c>
      <c r="H45" s="18" t="s">
        <v>27</v>
      </c>
      <c r="I45" s="18" t="s">
        <v>24</v>
      </c>
      <c r="J45" s="29" t="s">
        <v>62</v>
      </c>
      <c r="K45" s="22"/>
      <c r="L45" s="23"/>
      <c r="M45" s="23"/>
      <c r="N45" s="23"/>
      <c r="O45" s="23"/>
    </row>
    <row r="46">
      <c r="A46" s="16">
        <f t="shared" si="1"/>
        <v>45</v>
      </c>
      <c r="B46" s="28">
        <v>45162.0</v>
      </c>
      <c r="C46" s="18" t="s">
        <v>44</v>
      </c>
      <c r="D46" s="24" t="s">
        <v>98</v>
      </c>
      <c r="H46" s="18" t="s">
        <v>27</v>
      </c>
      <c r="I46" s="18" t="s">
        <v>24</v>
      </c>
      <c r="J46" s="24" t="s">
        <v>78</v>
      </c>
      <c r="K46" s="22"/>
      <c r="L46" s="23"/>
      <c r="M46" s="23"/>
      <c r="N46" s="23"/>
      <c r="O46" s="23"/>
    </row>
    <row r="47">
      <c r="A47" s="16">
        <f t="shared" si="1"/>
        <v>46</v>
      </c>
      <c r="B47" s="28">
        <v>45162.0</v>
      </c>
      <c r="C47" s="18" t="s">
        <v>44</v>
      </c>
      <c r="D47" s="24" t="s">
        <v>99</v>
      </c>
      <c r="H47" s="18" t="s">
        <v>27</v>
      </c>
      <c r="I47" s="18" t="s">
        <v>24</v>
      </c>
      <c r="J47" s="24" t="s">
        <v>78</v>
      </c>
      <c r="K47" s="22"/>
      <c r="L47" s="23"/>
      <c r="M47" s="23"/>
      <c r="N47" s="23"/>
      <c r="O47" s="23"/>
    </row>
    <row r="48">
      <c r="A48" s="16">
        <f t="shared" si="1"/>
        <v>47</v>
      </c>
      <c r="B48" s="28">
        <v>45162.0</v>
      </c>
      <c r="C48" s="18" t="s">
        <v>44</v>
      </c>
      <c r="D48" s="24" t="s">
        <v>100</v>
      </c>
      <c r="H48" s="18" t="s">
        <v>27</v>
      </c>
      <c r="I48" s="18" t="s">
        <v>24</v>
      </c>
      <c r="J48" s="24" t="s">
        <v>78</v>
      </c>
      <c r="K48" s="22"/>
      <c r="L48" s="23"/>
      <c r="M48" s="23"/>
      <c r="N48" s="23"/>
      <c r="O48" s="23"/>
    </row>
    <row r="49">
      <c r="A49" s="16">
        <f t="shared" si="1"/>
        <v>48</v>
      </c>
      <c r="B49" s="28">
        <v>45162.0</v>
      </c>
      <c r="C49" s="18" t="s">
        <v>44</v>
      </c>
      <c r="D49" s="24" t="s">
        <v>101</v>
      </c>
      <c r="H49" s="18" t="s">
        <v>23</v>
      </c>
      <c r="I49" s="16"/>
      <c r="J49" s="22"/>
      <c r="K49" s="22"/>
      <c r="L49" s="23"/>
      <c r="M49" s="23"/>
      <c r="N49" s="23"/>
      <c r="O49" s="23"/>
      <c r="T49" s="25"/>
    </row>
    <row r="50">
      <c r="A50" s="16">
        <f t="shared" si="1"/>
        <v>49</v>
      </c>
      <c r="B50" s="28">
        <v>45162.0</v>
      </c>
      <c r="C50" s="18" t="s">
        <v>44</v>
      </c>
      <c r="D50" s="24" t="s">
        <v>102</v>
      </c>
      <c r="H50" s="18" t="s">
        <v>27</v>
      </c>
      <c r="I50" s="18" t="s">
        <v>24</v>
      </c>
      <c r="J50" s="24" t="s">
        <v>78</v>
      </c>
      <c r="K50" s="22"/>
      <c r="L50" s="23"/>
      <c r="M50" s="23"/>
      <c r="N50" s="23"/>
      <c r="O50" s="23"/>
    </row>
    <row r="51">
      <c r="A51" s="16">
        <f t="shared" si="1"/>
        <v>50</v>
      </c>
      <c r="B51" s="28">
        <v>45162.0</v>
      </c>
      <c r="C51" s="18" t="s">
        <v>44</v>
      </c>
      <c r="D51" s="18" t="s">
        <v>103</v>
      </c>
      <c r="E51" s="18" t="s">
        <v>104</v>
      </c>
      <c r="H51" s="18" t="s">
        <v>27</v>
      </c>
      <c r="I51" s="18" t="s">
        <v>24</v>
      </c>
      <c r="J51" s="24" t="s">
        <v>78</v>
      </c>
      <c r="K51" s="22"/>
      <c r="L51" s="23"/>
      <c r="M51" s="23"/>
      <c r="N51" s="23"/>
      <c r="O51" s="23"/>
    </row>
    <row r="52">
      <c r="A52" s="16">
        <f t="shared" si="1"/>
        <v>51</v>
      </c>
      <c r="B52" s="28">
        <v>45162.0</v>
      </c>
      <c r="C52" s="18" t="s">
        <v>44</v>
      </c>
      <c r="D52" s="24" t="s">
        <v>105</v>
      </c>
      <c r="H52" s="18" t="s">
        <v>27</v>
      </c>
      <c r="I52" s="18" t="s">
        <v>24</v>
      </c>
      <c r="J52" s="24" t="s">
        <v>78</v>
      </c>
      <c r="K52" s="22"/>
      <c r="L52" s="23"/>
      <c r="M52" s="23"/>
      <c r="N52" s="23"/>
      <c r="O52" s="23"/>
    </row>
    <row r="53">
      <c r="A53" s="16">
        <f t="shared" si="1"/>
        <v>52</v>
      </c>
      <c r="B53" s="28">
        <v>45162.0</v>
      </c>
      <c r="C53" s="18" t="s">
        <v>87</v>
      </c>
      <c r="D53" s="24" t="s">
        <v>106</v>
      </c>
      <c r="H53" s="18" t="s">
        <v>46</v>
      </c>
      <c r="I53" s="16"/>
      <c r="J53" s="22"/>
      <c r="K53" s="22"/>
      <c r="L53" s="23"/>
      <c r="M53" s="23"/>
      <c r="N53" s="23"/>
      <c r="O53" s="23"/>
    </row>
    <row r="54">
      <c r="A54" s="16">
        <f t="shared" si="1"/>
        <v>53</v>
      </c>
      <c r="B54" s="28">
        <v>45162.0</v>
      </c>
      <c r="C54" s="18" t="s">
        <v>87</v>
      </c>
      <c r="D54" s="24" t="s">
        <v>107</v>
      </c>
      <c r="H54" s="18" t="s">
        <v>27</v>
      </c>
      <c r="I54" s="18" t="s">
        <v>24</v>
      </c>
      <c r="J54" s="24" t="s">
        <v>25</v>
      </c>
      <c r="K54" s="22"/>
      <c r="L54" s="23"/>
      <c r="M54" s="23"/>
      <c r="N54" s="23"/>
      <c r="O54" s="23"/>
    </row>
    <row r="55">
      <c r="A55" s="16">
        <f t="shared" si="1"/>
        <v>54</v>
      </c>
      <c r="B55" s="28">
        <v>45162.0</v>
      </c>
      <c r="C55" s="18" t="s">
        <v>87</v>
      </c>
      <c r="D55" s="24" t="s">
        <v>108</v>
      </c>
      <c r="H55" s="18" t="s">
        <v>27</v>
      </c>
      <c r="I55" s="18" t="s">
        <v>24</v>
      </c>
      <c r="J55" s="24" t="s">
        <v>25</v>
      </c>
      <c r="K55" s="22"/>
      <c r="L55" s="23"/>
      <c r="M55" s="23"/>
      <c r="N55" s="23"/>
      <c r="O55" s="23"/>
    </row>
    <row r="56">
      <c r="A56" s="16">
        <f t="shared" si="1"/>
        <v>55</v>
      </c>
      <c r="B56" s="28">
        <v>45162.0</v>
      </c>
      <c r="C56" s="18" t="s">
        <v>87</v>
      </c>
      <c r="D56" s="24" t="s">
        <v>109</v>
      </c>
      <c r="H56" s="18" t="s">
        <v>27</v>
      </c>
      <c r="I56" s="18" t="s">
        <v>24</v>
      </c>
      <c r="J56" s="24" t="s">
        <v>25</v>
      </c>
      <c r="K56" s="22"/>
      <c r="L56" s="23"/>
      <c r="M56" s="23"/>
      <c r="N56" s="23"/>
      <c r="O56" s="23"/>
    </row>
    <row r="57">
      <c r="A57" s="16">
        <f t="shared" si="1"/>
        <v>56</v>
      </c>
      <c r="B57" s="17">
        <v>45166.0</v>
      </c>
      <c r="C57" s="18" t="s">
        <v>110</v>
      </c>
      <c r="D57" s="31" t="s">
        <v>111</v>
      </c>
      <c r="H57" s="18" t="s">
        <v>46</v>
      </c>
      <c r="I57" s="16"/>
      <c r="J57" s="24"/>
      <c r="K57" s="22"/>
      <c r="L57" s="23"/>
      <c r="M57" s="23"/>
      <c r="N57" s="23"/>
      <c r="O57" s="23"/>
      <c r="T57" s="25"/>
    </row>
    <row r="58">
      <c r="A58" s="16">
        <f t="shared" si="1"/>
        <v>57</v>
      </c>
      <c r="B58" s="17">
        <v>45166.0</v>
      </c>
      <c r="C58" s="18" t="s">
        <v>92</v>
      </c>
      <c r="D58" s="24" t="s">
        <v>112</v>
      </c>
      <c r="H58" s="18" t="s">
        <v>27</v>
      </c>
      <c r="I58" s="18" t="s">
        <v>24</v>
      </c>
      <c r="J58" s="32" t="s">
        <v>25</v>
      </c>
      <c r="K58" s="22"/>
      <c r="L58" s="23"/>
      <c r="M58" s="23"/>
      <c r="N58" s="23"/>
      <c r="O58" s="23"/>
    </row>
    <row r="59">
      <c r="A59" s="16">
        <f t="shared" si="1"/>
        <v>58</v>
      </c>
      <c r="B59" s="17">
        <v>45166.0</v>
      </c>
      <c r="C59" s="18" t="s">
        <v>92</v>
      </c>
      <c r="D59" s="29" t="s">
        <v>113</v>
      </c>
      <c r="H59" s="18" t="s">
        <v>27</v>
      </c>
      <c r="I59" s="18" t="s">
        <v>24</v>
      </c>
      <c r="J59" s="32" t="s">
        <v>25</v>
      </c>
      <c r="K59" s="22"/>
      <c r="L59" s="23"/>
      <c r="M59" s="23"/>
      <c r="N59" s="23"/>
      <c r="O59" s="23"/>
    </row>
    <row r="60">
      <c r="A60" s="16">
        <f t="shared" si="1"/>
        <v>59</v>
      </c>
      <c r="B60" s="17">
        <v>45166.0</v>
      </c>
      <c r="C60" s="18" t="s">
        <v>92</v>
      </c>
      <c r="D60" s="29" t="s">
        <v>114</v>
      </c>
      <c r="H60" s="18" t="s">
        <v>27</v>
      </c>
      <c r="I60" s="18" t="s">
        <v>24</v>
      </c>
      <c r="J60" s="24" t="s">
        <v>78</v>
      </c>
      <c r="K60" s="22"/>
      <c r="L60" s="23"/>
      <c r="M60" s="23"/>
      <c r="N60" s="23"/>
      <c r="O60" s="23"/>
    </row>
    <row r="61">
      <c r="A61" s="16">
        <f t="shared" si="1"/>
        <v>60</v>
      </c>
      <c r="B61" s="17">
        <v>45166.0</v>
      </c>
      <c r="C61" s="18" t="s">
        <v>92</v>
      </c>
      <c r="D61" s="24" t="s">
        <v>115</v>
      </c>
      <c r="H61" s="18" t="s">
        <v>27</v>
      </c>
      <c r="I61" s="18" t="s">
        <v>24</v>
      </c>
      <c r="J61" s="24" t="s">
        <v>78</v>
      </c>
      <c r="K61" s="22"/>
      <c r="L61" s="23"/>
      <c r="M61" s="23"/>
      <c r="N61" s="23"/>
      <c r="O61" s="23"/>
      <c r="R61" s="18" t="s">
        <v>116</v>
      </c>
    </row>
    <row r="62">
      <c r="A62" s="16">
        <f t="shared" si="1"/>
        <v>61</v>
      </c>
      <c r="B62" s="17">
        <v>45166.0</v>
      </c>
      <c r="C62" s="18" t="s">
        <v>92</v>
      </c>
      <c r="D62" s="18" t="s">
        <v>117</v>
      </c>
      <c r="H62" s="18" t="s">
        <v>27</v>
      </c>
      <c r="I62" s="18" t="s">
        <v>65</v>
      </c>
      <c r="J62" s="24" t="s">
        <v>78</v>
      </c>
      <c r="K62" s="22"/>
      <c r="L62" s="23"/>
      <c r="M62" s="23"/>
      <c r="N62" s="23"/>
      <c r="O62" s="23"/>
    </row>
    <row r="63">
      <c r="A63" s="16">
        <f t="shared" si="1"/>
        <v>62</v>
      </c>
      <c r="B63" s="17">
        <v>45166.0</v>
      </c>
      <c r="C63" s="18" t="s">
        <v>87</v>
      </c>
      <c r="D63" s="24" t="s">
        <v>118</v>
      </c>
      <c r="H63" s="18" t="s">
        <v>27</v>
      </c>
      <c r="I63" s="18" t="s">
        <v>24</v>
      </c>
      <c r="J63" s="24" t="s">
        <v>78</v>
      </c>
      <c r="K63" s="22"/>
      <c r="L63" s="23"/>
      <c r="M63" s="23"/>
      <c r="N63" s="23"/>
      <c r="O63" s="23"/>
    </row>
    <row r="64">
      <c r="A64" s="16">
        <f t="shared" si="1"/>
        <v>63</v>
      </c>
      <c r="B64" s="17">
        <v>45166.0</v>
      </c>
      <c r="C64" s="18" t="s">
        <v>87</v>
      </c>
      <c r="D64" s="24" t="s">
        <v>119</v>
      </c>
      <c r="H64" s="18" t="s">
        <v>27</v>
      </c>
      <c r="I64" s="18" t="s">
        <v>24</v>
      </c>
      <c r="J64" s="24" t="s">
        <v>78</v>
      </c>
      <c r="K64" s="22"/>
      <c r="L64" s="23"/>
      <c r="M64" s="23"/>
      <c r="N64" s="23"/>
      <c r="O64" s="23"/>
    </row>
    <row r="65">
      <c r="A65" s="16">
        <f t="shared" si="1"/>
        <v>64</v>
      </c>
      <c r="B65" s="17">
        <v>45166.0</v>
      </c>
      <c r="C65" s="18" t="s">
        <v>87</v>
      </c>
      <c r="D65" s="33" t="s">
        <v>120</v>
      </c>
      <c r="H65" s="18" t="s">
        <v>27</v>
      </c>
      <c r="I65" s="18" t="s">
        <v>24</v>
      </c>
      <c r="J65" s="24" t="s">
        <v>78</v>
      </c>
      <c r="K65" s="22"/>
      <c r="L65" s="23"/>
      <c r="M65" s="23"/>
      <c r="N65" s="23"/>
      <c r="O65" s="23"/>
    </row>
    <row r="66">
      <c r="A66" s="16">
        <f t="shared" si="1"/>
        <v>65</v>
      </c>
      <c r="B66" s="17">
        <v>45166.0</v>
      </c>
      <c r="C66" s="18" t="s">
        <v>87</v>
      </c>
      <c r="D66" s="33" t="s">
        <v>121</v>
      </c>
      <c r="H66" s="18" t="s">
        <v>27</v>
      </c>
      <c r="I66" s="18" t="s">
        <v>24</v>
      </c>
      <c r="J66" s="24" t="s">
        <v>62</v>
      </c>
      <c r="K66" s="22"/>
      <c r="L66" s="23"/>
      <c r="M66" s="23"/>
      <c r="N66" s="23"/>
      <c r="O66" s="23"/>
    </row>
    <row r="67">
      <c r="A67" s="16">
        <f t="shared" si="1"/>
        <v>66</v>
      </c>
      <c r="B67" s="17">
        <v>45167.0</v>
      </c>
      <c r="C67" s="18" t="s">
        <v>110</v>
      </c>
      <c r="D67" s="24" t="s">
        <v>122</v>
      </c>
      <c r="H67" s="18" t="s">
        <v>27</v>
      </c>
      <c r="I67" s="18" t="s">
        <v>24</v>
      </c>
      <c r="J67" s="32" t="s">
        <v>25</v>
      </c>
      <c r="K67" s="22"/>
      <c r="L67" s="23"/>
      <c r="M67" s="23"/>
      <c r="N67" s="23"/>
      <c r="O67" s="23"/>
    </row>
    <row r="68">
      <c r="A68" s="16">
        <f t="shared" si="1"/>
        <v>67</v>
      </c>
      <c r="B68" s="17">
        <v>45167.0</v>
      </c>
      <c r="C68" s="18" t="s">
        <v>110</v>
      </c>
      <c r="D68" s="24" t="s">
        <v>123</v>
      </c>
      <c r="H68" s="18" t="s">
        <v>27</v>
      </c>
      <c r="I68" s="18" t="s">
        <v>24</v>
      </c>
      <c r="J68" s="32" t="s">
        <v>25</v>
      </c>
      <c r="K68" s="22"/>
      <c r="L68" s="23"/>
      <c r="M68" s="23"/>
      <c r="N68" s="23"/>
      <c r="O68" s="23"/>
    </row>
    <row r="69">
      <c r="A69" s="16">
        <f t="shared" si="1"/>
        <v>68</v>
      </c>
      <c r="B69" s="17">
        <v>45167.0</v>
      </c>
      <c r="C69" s="18" t="s">
        <v>110</v>
      </c>
      <c r="D69" s="24" t="s">
        <v>124</v>
      </c>
      <c r="H69" s="18" t="s">
        <v>27</v>
      </c>
      <c r="I69" s="18" t="s">
        <v>24</v>
      </c>
      <c r="J69" s="32" t="s">
        <v>66</v>
      </c>
      <c r="K69" s="22"/>
      <c r="L69" s="23"/>
      <c r="M69" s="23"/>
      <c r="N69" s="23"/>
      <c r="O69" s="23"/>
    </row>
    <row r="70">
      <c r="A70" s="16">
        <f t="shared" si="1"/>
        <v>69</v>
      </c>
      <c r="B70" s="17">
        <v>45167.0</v>
      </c>
      <c r="C70" s="18" t="s">
        <v>110</v>
      </c>
      <c r="D70" s="18" t="s">
        <v>125</v>
      </c>
      <c r="H70" s="18" t="s">
        <v>27</v>
      </c>
      <c r="I70" s="18" t="s">
        <v>24</v>
      </c>
      <c r="J70" s="32" t="s">
        <v>25</v>
      </c>
      <c r="K70" s="22"/>
      <c r="L70" s="23"/>
      <c r="M70" s="23"/>
      <c r="N70" s="23"/>
      <c r="O70" s="23"/>
    </row>
    <row r="71">
      <c r="A71" s="16">
        <f t="shared" si="1"/>
        <v>70</v>
      </c>
      <c r="B71" s="17">
        <v>45173.0</v>
      </c>
      <c r="C71" s="18" t="s">
        <v>87</v>
      </c>
      <c r="D71" s="24" t="s">
        <v>126</v>
      </c>
      <c r="H71" s="18" t="s">
        <v>46</v>
      </c>
      <c r="J71" s="22"/>
      <c r="K71" s="22"/>
      <c r="L71" s="23"/>
      <c r="M71" s="23"/>
      <c r="N71" s="23"/>
      <c r="O71" s="23"/>
    </row>
    <row r="72">
      <c r="A72" s="16">
        <f t="shared" si="1"/>
        <v>71</v>
      </c>
      <c r="B72" s="17">
        <v>45173.0</v>
      </c>
      <c r="C72" s="18" t="s">
        <v>110</v>
      </c>
      <c r="D72" s="24" t="s">
        <v>127</v>
      </c>
      <c r="H72" s="18" t="s">
        <v>27</v>
      </c>
      <c r="I72" s="18" t="s">
        <v>24</v>
      </c>
      <c r="J72" s="32" t="s">
        <v>25</v>
      </c>
      <c r="K72" s="22"/>
      <c r="L72" s="23"/>
      <c r="M72" s="23"/>
      <c r="N72" s="23"/>
      <c r="O72" s="23"/>
    </row>
    <row r="73">
      <c r="A73" s="16">
        <f t="shared" si="1"/>
        <v>72</v>
      </c>
      <c r="B73" s="17">
        <v>45173.0</v>
      </c>
      <c r="C73" s="18" t="s">
        <v>110</v>
      </c>
      <c r="D73" s="24" t="s">
        <v>128</v>
      </c>
      <c r="H73" s="18" t="s">
        <v>27</v>
      </c>
      <c r="I73" s="18" t="s">
        <v>65</v>
      </c>
      <c r="J73" s="33" t="s">
        <v>66</v>
      </c>
      <c r="K73" s="22"/>
      <c r="L73" s="23"/>
      <c r="M73" s="23"/>
      <c r="N73" s="23"/>
      <c r="O73" s="23"/>
    </row>
    <row r="74">
      <c r="A74" s="16">
        <f t="shared" si="1"/>
        <v>73</v>
      </c>
      <c r="B74" s="17">
        <v>45166.0</v>
      </c>
      <c r="C74" s="18" t="s">
        <v>87</v>
      </c>
      <c r="D74" s="33" t="s">
        <v>129</v>
      </c>
      <c r="H74" s="18" t="s">
        <v>130</v>
      </c>
      <c r="I74" s="18" t="s">
        <v>65</v>
      </c>
      <c r="J74" s="32" t="s">
        <v>25</v>
      </c>
      <c r="K74" s="22"/>
      <c r="L74" s="23"/>
      <c r="M74" s="23"/>
      <c r="N74" s="23"/>
      <c r="O74" s="23"/>
    </row>
    <row r="75">
      <c r="A75" s="16">
        <f t="shared" si="1"/>
        <v>74</v>
      </c>
      <c r="B75" s="17">
        <v>45177.0</v>
      </c>
      <c r="C75" s="34" t="s">
        <v>110</v>
      </c>
      <c r="D75" s="24" t="s">
        <v>131</v>
      </c>
      <c r="E75" s="18" t="s">
        <v>132</v>
      </c>
      <c r="H75" s="18" t="s">
        <v>27</v>
      </c>
      <c r="I75" s="18" t="s">
        <v>65</v>
      </c>
      <c r="J75" s="24" t="s">
        <v>25</v>
      </c>
      <c r="K75" s="22"/>
      <c r="L75" s="23"/>
      <c r="M75" s="23"/>
      <c r="N75" s="23"/>
      <c r="O75" s="23"/>
    </row>
    <row r="76">
      <c r="A76" s="16">
        <f t="shared" si="1"/>
        <v>75</v>
      </c>
      <c r="B76" s="17">
        <v>45177.0</v>
      </c>
      <c r="C76" s="18" t="s">
        <v>110</v>
      </c>
      <c r="D76" s="24" t="s">
        <v>133</v>
      </c>
      <c r="H76" s="18" t="s">
        <v>27</v>
      </c>
      <c r="J76" s="22"/>
      <c r="K76" s="22"/>
      <c r="L76" s="23"/>
      <c r="M76" s="23"/>
      <c r="N76" s="23"/>
      <c r="O76" s="23"/>
    </row>
    <row r="77">
      <c r="A77" s="16">
        <f t="shared" si="1"/>
        <v>76</v>
      </c>
      <c r="B77" s="17">
        <v>45177.0</v>
      </c>
      <c r="C77" s="18" t="s">
        <v>110</v>
      </c>
      <c r="D77" s="24" t="s">
        <v>134</v>
      </c>
      <c r="H77" s="18" t="s">
        <v>27</v>
      </c>
      <c r="J77" s="24" t="s">
        <v>135</v>
      </c>
      <c r="K77" s="24" t="s">
        <v>136</v>
      </c>
      <c r="L77" s="23"/>
      <c r="M77" s="23"/>
      <c r="N77" s="23"/>
      <c r="O77" s="23"/>
    </row>
    <row r="78">
      <c r="A78" s="16">
        <f t="shared" si="1"/>
        <v>77</v>
      </c>
      <c r="B78" s="17">
        <v>45177.0</v>
      </c>
      <c r="C78" s="34" t="s">
        <v>110</v>
      </c>
      <c r="D78" s="24" t="s">
        <v>137</v>
      </c>
      <c r="H78" s="18" t="s">
        <v>27</v>
      </c>
      <c r="I78" s="18" t="s">
        <v>24</v>
      </c>
      <c r="J78" s="32" t="s">
        <v>25</v>
      </c>
      <c r="K78" s="22"/>
      <c r="L78" s="23"/>
      <c r="M78" s="23"/>
      <c r="N78" s="23"/>
      <c r="O78" s="23"/>
    </row>
    <row r="79">
      <c r="A79" s="16">
        <f t="shared" si="1"/>
        <v>78</v>
      </c>
      <c r="B79" s="17">
        <v>45177.0</v>
      </c>
      <c r="C79" s="18" t="s">
        <v>110</v>
      </c>
      <c r="D79" s="24" t="s">
        <v>138</v>
      </c>
      <c r="H79" s="18" t="s">
        <v>27</v>
      </c>
      <c r="I79" s="18" t="s">
        <v>24</v>
      </c>
      <c r="J79" s="32" t="s">
        <v>25</v>
      </c>
      <c r="K79" s="22"/>
      <c r="L79" s="23"/>
      <c r="M79" s="23"/>
      <c r="N79" s="23"/>
      <c r="O79" s="23"/>
    </row>
    <row r="80">
      <c r="A80" s="16">
        <f t="shared" si="1"/>
        <v>79</v>
      </c>
      <c r="B80" s="17">
        <v>45179.0</v>
      </c>
      <c r="C80" s="18" t="s">
        <v>139</v>
      </c>
      <c r="D80" s="24" t="s">
        <v>140</v>
      </c>
      <c r="E80" s="18" t="s">
        <v>141</v>
      </c>
      <c r="H80" s="18" t="s">
        <v>27</v>
      </c>
      <c r="I80" s="18" t="s">
        <v>24</v>
      </c>
      <c r="J80" s="24" t="s">
        <v>62</v>
      </c>
      <c r="K80" s="22"/>
      <c r="L80" s="23"/>
      <c r="M80" s="23"/>
      <c r="N80" s="23"/>
      <c r="O80" s="23"/>
    </row>
    <row r="81">
      <c r="A81" s="16">
        <f t="shared" si="1"/>
        <v>80</v>
      </c>
      <c r="B81" s="17">
        <v>45179.0</v>
      </c>
      <c r="C81" s="18" t="s">
        <v>87</v>
      </c>
      <c r="D81" s="24" t="s">
        <v>142</v>
      </c>
      <c r="H81" s="18" t="s">
        <v>27</v>
      </c>
      <c r="I81" s="18" t="s">
        <v>24</v>
      </c>
      <c r="J81" s="24" t="s">
        <v>143</v>
      </c>
      <c r="K81" s="24" t="s">
        <v>144</v>
      </c>
      <c r="L81" s="23"/>
      <c r="M81" s="23"/>
      <c r="N81" s="23"/>
      <c r="O81" s="23"/>
    </row>
    <row r="82">
      <c r="A82" s="16">
        <f t="shared" si="1"/>
        <v>81</v>
      </c>
      <c r="B82" s="17">
        <v>45179.0</v>
      </c>
      <c r="C82" s="18" t="s">
        <v>87</v>
      </c>
      <c r="D82" s="24" t="s">
        <v>145</v>
      </c>
      <c r="H82" s="18" t="s">
        <v>27</v>
      </c>
      <c r="I82" s="18" t="s">
        <v>24</v>
      </c>
      <c r="J82" s="24" t="s">
        <v>135</v>
      </c>
      <c r="K82" s="24" t="s">
        <v>146</v>
      </c>
      <c r="L82" s="23"/>
      <c r="M82" s="23"/>
      <c r="N82" s="23"/>
      <c r="O82" s="23"/>
    </row>
    <row r="83">
      <c r="A83" s="16">
        <f t="shared" si="1"/>
        <v>82</v>
      </c>
      <c r="B83" s="17">
        <v>45179.0</v>
      </c>
      <c r="C83" s="18" t="s">
        <v>147</v>
      </c>
      <c r="D83" s="24" t="s">
        <v>148</v>
      </c>
      <c r="G83" s="18"/>
      <c r="H83" s="18" t="s">
        <v>27</v>
      </c>
      <c r="I83" s="18" t="s">
        <v>65</v>
      </c>
      <c r="J83" s="24" t="s">
        <v>149</v>
      </c>
      <c r="K83" s="22"/>
      <c r="L83" s="23"/>
      <c r="M83" s="23"/>
      <c r="N83" s="23"/>
      <c r="O83" s="17">
        <v>45341.0</v>
      </c>
    </row>
    <row r="84">
      <c r="A84" s="16">
        <f t="shared" si="1"/>
        <v>83</v>
      </c>
      <c r="B84" s="17">
        <v>45179.0</v>
      </c>
      <c r="C84" s="18" t="s">
        <v>87</v>
      </c>
      <c r="D84" s="24" t="s">
        <v>150</v>
      </c>
      <c r="H84" s="18" t="s">
        <v>27</v>
      </c>
      <c r="I84" s="18" t="s">
        <v>24</v>
      </c>
      <c r="J84" s="24" t="s">
        <v>66</v>
      </c>
      <c r="K84" s="22"/>
      <c r="L84" s="23"/>
      <c r="M84" s="23"/>
      <c r="N84" s="23"/>
      <c r="O84" s="23"/>
    </row>
    <row r="85">
      <c r="A85" s="16">
        <f t="shared" si="1"/>
        <v>84</v>
      </c>
      <c r="B85" s="17">
        <v>45180.0</v>
      </c>
      <c r="C85" s="18" t="s">
        <v>87</v>
      </c>
      <c r="D85" s="24" t="s">
        <v>151</v>
      </c>
      <c r="H85" s="18" t="s">
        <v>46</v>
      </c>
      <c r="I85" s="16"/>
      <c r="J85" s="22"/>
      <c r="K85" s="24" t="s">
        <v>152</v>
      </c>
      <c r="L85" s="23"/>
      <c r="M85" s="23"/>
      <c r="N85" s="23"/>
      <c r="O85" s="23"/>
    </row>
    <row r="86">
      <c r="A86" s="16">
        <f t="shared" si="1"/>
        <v>85</v>
      </c>
      <c r="B86" s="17">
        <v>45180.0</v>
      </c>
      <c r="C86" s="18" t="s">
        <v>87</v>
      </c>
      <c r="D86" s="24" t="s">
        <v>153</v>
      </c>
      <c r="H86" s="18" t="s">
        <v>27</v>
      </c>
      <c r="I86" s="18" t="s">
        <v>24</v>
      </c>
      <c r="J86" s="18" t="s">
        <v>25</v>
      </c>
      <c r="K86" s="22"/>
      <c r="L86" s="23"/>
      <c r="M86" s="23"/>
      <c r="N86" s="23"/>
      <c r="O86" s="23"/>
    </row>
    <row r="87">
      <c r="A87" s="16">
        <f t="shared" si="1"/>
        <v>86</v>
      </c>
      <c r="B87" s="17">
        <v>45180.0</v>
      </c>
      <c r="C87" s="18" t="s">
        <v>87</v>
      </c>
      <c r="D87" s="24" t="s">
        <v>154</v>
      </c>
      <c r="H87" s="18" t="s">
        <v>27</v>
      </c>
      <c r="I87" s="18" t="s">
        <v>65</v>
      </c>
      <c r="J87" s="32" t="s">
        <v>135</v>
      </c>
      <c r="K87" s="24" t="s">
        <v>155</v>
      </c>
      <c r="L87" s="23"/>
      <c r="M87" s="23"/>
      <c r="N87" s="23"/>
      <c r="O87" s="23"/>
    </row>
    <row r="88">
      <c r="A88" s="16">
        <f t="shared" si="1"/>
        <v>87</v>
      </c>
      <c r="B88" s="17">
        <v>45180.0</v>
      </c>
      <c r="C88" s="18" t="s">
        <v>87</v>
      </c>
      <c r="D88" s="24" t="s">
        <v>156</v>
      </c>
      <c r="H88" s="18" t="s">
        <v>31</v>
      </c>
      <c r="I88" s="18" t="s">
        <v>65</v>
      </c>
      <c r="J88" s="22" t="s">
        <v>25</v>
      </c>
      <c r="K88" s="24" t="s">
        <v>157</v>
      </c>
      <c r="L88" s="23"/>
      <c r="M88" s="23"/>
      <c r="N88" s="23"/>
      <c r="O88" s="23"/>
    </row>
    <row r="89">
      <c r="A89" s="16">
        <f t="shared" si="1"/>
        <v>88</v>
      </c>
      <c r="B89" s="17">
        <v>45180.0</v>
      </c>
      <c r="C89" s="18" t="s">
        <v>92</v>
      </c>
      <c r="D89" s="24" t="s">
        <v>158</v>
      </c>
      <c r="H89" s="18" t="s">
        <v>27</v>
      </c>
      <c r="I89" s="18" t="s">
        <v>24</v>
      </c>
      <c r="J89" s="22" t="s">
        <v>66</v>
      </c>
      <c r="K89" s="22"/>
      <c r="L89" s="23"/>
      <c r="M89" s="23"/>
      <c r="N89" s="23"/>
      <c r="O89" s="23"/>
    </row>
    <row r="90">
      <c r="A90" s="16">
        <f t="shared" si="1"/>
        <v>89</v>
      </c>
      <c r="B90" s="17">
        <v>45180.0</v>
      </c>
      <c r="C90" s="18" t="s">
        <v>92</v>
      </c>
      <c r="D90" s="24" t="s">
        <v>159</v>
      </c>
      <c r="H90" s="18" t="s">
        <v>27</v>
      </c>
      <c r="I90" s="18" t="s">
        <v>24</v>
      </c>
      <c r="J90" s="22" t="s">
        <v>66</v>
      </c>
      <c r="K90" s="22"/>
      <c r="L90" s="23"/>
      <c r="M90" s="23"/>
      <c r="N90" s="23"/>
      <c r="O90" s="23"/>
    </row>
    <row r="91">
      <c r="A91" s="16">
        <f t="shared" si="1"/>
        <v>90</v>
      </c>
      <c r="B91" s="17">
        <v>45180.0</v>
      </c>
      <c r="C91" s="18" t="s">
        <v>87</v>
      </c>
      <c r="D91" s="24" t="s">
        <v>160</v>
      </c>
      <c r="H91" s="18" t="s">
        <v>27</v>
      </c>
      <c r="I91" s="18" t="s">
        <v>65</v>
      </c>
      <c r="J91" s="22" t="s">
        <v>62</v>
      </c>
      <c r="K91" s="22"/>
      <c r="L91" s="23"/>
      <c r="M91" s="23"/>
      <c r="N91" s="23"/>
      <c r="O91" s="23"/>
    </row>
    <row r="92">
      <c r="A92" s="16">
        <f t="shared" si="1"/>
        <v>91</v>
      </c>
      <c r="B92" s="17">
        <v>45180.0</v>
      </c>
      <c r="C92" s="18" t="s">
        <v>92</v>
      </c>
      <c r="D92" s="24" t="s">
        <v>161</v>
      </c>
      <c r="H92" s="18" t="s">
        <v>27</v>
      </c>
      <c r="I92" s="18" t="s">
        <v>24</v>
      </c>
      <c r="J92" s="22" t="s">
        <v>62</v>
      </c>
      <c r="K92" s="22"/>
      <c r="L92" s="23"/>
      <c r="M92" s="23"/>
      <c r="N92" s="23"/>
      <c r="O92" s="23"/>
    </row>
    <row r="93">
      <c r="A93" s="16">
        <f t="shared" si="1"/>
        <v>92</v>
      </c>
      <c r="B93" s="17">
        <v>45180.0</v>
      </c>
      <c r="C93" s="18" t="s">
        <v>110</v>
      </c>
      <c r="D93" s="24" t="s">
        <v>162</v>
      </c>
      <c r="H93" s="18" t="s">
        <v>27</v>
      </c>
      <c r="I93" s="18" t="s">
        <v>24</v>
      </c>
      <c r="J93" s="22" t="s">
        <v>62</v>
      </c>
      <c r="K93" s="24" t="s">
        <v>163</v>
      </c>
      <c r="L93" s="23"/>
      <c r="M93" s="23"/>
      <c r="N93" s="23"/>
      <c r="O93" s="23"/>
    </row>
    <row r="94">
      <c r="A94" s="16">
        <f t="shared" si="1"/>
        <v>93</v>
      </c>
      <c r="B94" s="17">
        <v>45180.0</v>
      </c>
      <c r="C94" s="18" t="s">
        <v>110</v>
      </c>
      <c r="D94" s="24" t="s">
        <v>164</v>
      </c>
      <c r="H94" s="18" t="s">
        <v>27</v>
      </c>
      <c r="I94" s="18" t="s">
        <v>24</v>
      </c>
      <c r="J94" s="22" t="s">
        <v>66</v>
      </c>
      <c r="K94" s="22"/>
      <c r="L94" s="23"/>
      <c r="M94" s="23"/>
      <c r="N94" s="23"/>
      <c r="O94" s="23"/>
    </row>
    <row r="95">
      <c r="A95" s="16">
        <f t="shared" si="1"/>
        <v>94</v>
      </c>
      <c r="B95" s="17">
        <v>45180.0</v>
      </c>
      <c r="C95" s="18" t="s">
        <v>110</v>
      </c>
      <c r="D95" s="24" t="s">
        <v>165</v>
      </c>
      <c r="H95" s="18" t="s">
        <v>27</v>
      </c>
      <c r="I95" s="18" t="s">
        <v>24</v>
      </c>
      <c r="J95" s="22" t="s">
        <v>25</v>
      </c>
      <c r="K95" s="22"/>
      <c r="L95" s="23"/>
      <c r="M95" s="23"/>
      <c r="N95" s="23"/>
      <c r="O95" s="23"/>
    </row>
    <row r="96">
      <c r="A96" s="16">
        <f t="shared" si="1"/>
        <v>95</v>
      </c>
      <c r="B96" s="17">
        <v>45182.0</v>
      </c>
      <c r="C96" s="18" t="s">
        <v>87</v>
      </c>
      <c r="D96" s="24" t="s">
        <v>166</v>
      </c>
      <c r="E96" s="18" t="s">
        <v>167</v>
      </c>
      <c r="H96" s="18" t="s">
        <v>27</v>
      </c>
      <c r="I96" s="18" t="s">
        <v>24</v>
      </c>
      <c r="J96" s="22" t="s">
        <v>25</v>
      </c>
      <c r="K96" s="22"/>
      <c r="L96" s="23"/>
      <c r="M96" s="23"/>
      <c r="N96" s="23"/>
      <c r="O96" s="23"/>
    </row>
    <row r="97">
      <c r="A97" s="16">
        <f t="shared" si="1"/>
        <v>96</v>
      </c>
      <c r="B97" s="17">
        <v>45182.0</v>
      </c>
      <c r="C97" s="18" t="s">
        <v>110</v>
      </c>
      <c r="D97" s="24" t="s">
        <v>168</v>
      </c>
      <c r="H97" s="18" t="s">
        <v>27</v>
      </c>
      <c r="I97" s="18" t="s">
        <v>24</v>
      </c>
      <c r="J97" s="22" t="s">
        <v>25</v>
      </c>
      <c r="K97" s="24"/>
      <c r="L97" s="23"/>
      <c r="M97" s="23"/>
      <c r="N97" s="23"/>
      <c r="O97" s="23"/>
    </row>
    <row r="98">
      <c r="A98" s="16">
        <f t="shared" si="1"/>
        <v>97</v>
      </c>
      <c r="B98" s="17">
        <v>45182.0</v>
      </c>
      <c r="C98" s="18" t="s">
        <v>169</v>
      </c>
      <c r="D98" s="24" t="s">
        <v>170</v>
      </c>
      <c r="H98" s="18" t="s">
        <v>23</v>
      </c>
      <c r="J98" s="22"/>
      <c r="K98" s="24" t="s">
        <v>171</v>
      </c>
      <c r="L98" s="23"/>
      <c r="M98" s="23"/>
      <c r="N98" s="23"/>
      <c r="O98" s="23"/>
    </row>
    <row r="99">
      <c r="A99" s="16">
        <f t="shared" si="1"/>
        <v>98</v>
      </c>
      <c r="B99" s="17">
        <v>45183.0</v>
      </c>
      <c r="C99" s="18" t="s">
        <v>44</v>
      </c>
      <c r="D99" s="24" t="s">
        <v>172</v>
      </c>
      <c r="H99" s="18" t="s">
        <v>27</v>
      </c>
      <c r="I99" s="18" t="s">
        <v>65</v>
      </c>
      <c r="J99" s="22" t="s">
        <v>62</v>
      </c>
      <c r="K99" s="22"/>
      <c r="L99" s="23"/>
      <c r="M99" s="23"/>
      <c r="N99" s="23"/>
      <c r="O99" s="23"/>
    </row>
    <row r="100">
      <c r="A100" s="16">
        <f t="shared" si="1"/>
        <v>99</v>
      </c>
      <c r="B100" s="17">
        <v>45187.0</v>
      </c>
      <c r="C100" s="18" t="s">
        <v>110</v>
      </c>
      <c r="D100" s="24" t="s">
        <v>173</v>
      </c>
      <c r="H100" s="18" t="s">
        <v>27</v>
      </c>
      <c r="I100" s="18" t="s">
        <v>65</v>
      </c>
      <c r="J100" s="22"/>
      <c r="K100" s="22"/>
      <c r="L100" s="23"/>
      <c r="M100" s="23"/>
      <c r="N100" s="23"/>
      <c r="O100" s="23"/>
    </row>
    <row r="101">
      <c r="A101" s="16">
        <f t="shared" si="1"/>
        <v>100</v>
      </c>
      <c r="B101" s="17">
        <v>45187.0</v>
      </c>
      <c r="C101" s="18" t="s">
        <v>92</v>
      </c>
      <c r="D101" s="24" t="s">
        <v>174</v>
      </c>
      <c r="H101" s="18" t="s">
        <v>27</v>
      </c>
      <c r="I101" s="18" t="s">
        <v>24</v>
      </c>
      <c r="J101" s="24" t="s">
        <v>78</v>
      </c>
      <c r="K101" s="24" t="s">
        <v>175</v>
      </c>
      <c r="L101" s="23"/>
      <c r="M101" s="23"/>
      <c r="N101" s="23"/>
      <c r="O101" s="23"/>
    </row>
    <row r="102">
      <c r="A102" s="16">
        <f t="shared" si="1"/>
        <v>101</v>
      </c>
      <c r="B102" s="17">
        <v>45187.0</v>
      </c>
      <c r="C102" s="18" t="s">
        <v>92</v>
      </c>
      <c r="D102" s="24" t="s">
        <v>176</v>
      </c>
      <c r="H102" s="18" t="s">
        <v>27</v>
      </c>
      <c r="I102" s="18" t="s">
        <v>24</v>
      </c>
      <c r="J102" s="24" t="s">
        <v>62</v>
      </c>
      <c r="K102" s="22"/>
      <c r="L102" s="23"/>
      <c r="M102" s="23"/>
      <c r="N102" s="23"/>
      <c r="O102" s="23"/>
    </row>
    <row r="103">
      <c r="A103" s="16">
        <f t="shared" si="1"/>
        <v>102</v>
      </c>
      <c r="B103" s="17">
        <v>45187.0</v>
      </c>
      <c r="C103" s="18" t="s">
        <v>92</v>
      </c>
      <c r="D103" s="24" t="s">
        <v>177</v>
      </c>
      <c r="H103" s="18" t="s">
        <v>27</v>
      </c>
      <c r="I103" s="18" t="s">
        <v>24</v>
      </c>
      <c r="J103" s="35" t="s">
        <v>66</v>
      </c>
      <c r="K103" s="22"/>
      <c r="L103" s="23"/>
      <c r="M103" s="23"/>
      <c r="N103" s="23"/>
      <c r="O103" s="23"/>
    </row>
    <row r="104">
      <c r="A104" s="16">
        <f t="shared" si="1"/>
        <v>103</v>
      </c>
      <c r="B104" s="17">
        <v>45187.0</v>
      </c>
      <c r="C104" s="18" t="s">
        <v>92</v>
      </c>
      <c r="D104" s="24" t="s">
        <v>178</v>
      </c>
      <c r="H104" s="18" t="s">
        <v>27</v>
      </c>
      <c r="I104" s="18" t="s">
        <v>24</v>
      </c>
      <c r="J104" s="24" t="s">
        <v>62</v>
      </c>
      <c r="K104" s="22"/>
      <c r="L104" s="23"/>
      <c r="M104" s="23"/>
      <c r="N104" s="23"/>
      <c r="O104" s="23"/>
    </row>
    <row r="105">
      <c r="A105" s="16">
        <f t="shared" si="1"/>
        <v>104</v>
      </c>
      <c r="B105" s="17">
        <v>45187.0</v>
      </c>
      <c r="C105" s="18" t="s">
        <v>110</v>
      </c>
      <c r="D105" s="24" t="s">
        <v>179</v>
      </c>
      <c r="H105" s="18" t="s">
        <v>27</v>
      </c>
      <c r="I105" s="18" t="s">
        <v>24</v>
      </c>
      <c r="J105" s="22" t="s">
        <v>66</v>
      </c>
      <c r="K105" s="22"/>
      <c r="L105" s="23"/>
      <c r="M105" s="23"/>
      <c r="N105" s="23"/>
      <c r="O105" s="23"/>
    </row>
    <row r="106">
      <c r="A106" s="16">
        <f t="shared" si="1"/>
        <v>105</v>
      </c>
      <c r="B106" s="17">
        <v>45187.0</v>
      </c>
      <c r="C106" s="18" t="s">
        <v>110</v>
      </c>
      <c r="D106" s="24" t="s">
        <v>180</v>
      </c>
      <c r="H106" s="18" t="s">
        <v>27</v>
      </c>
      <c r="I106" s="16"/>
      <c r="J106" s="35"/>
      <c r="K106" s="22"/>
      <c r="L106" s="23"/>
      <c r="M106" s="23"/>
      <c r="N106" s="23"/>
      <c r="O106" s="23"/>
    </row>
    <row r="107">
      <c r="A107" s="16">
        <f t="shared" si="1"/>
        <v>106</v>
      </c>
      <c r="B107" s="17">
        <v>45187.0</v>
      </c>
      <c r="C107" s="18" t="s">
        <v>110</v>
      </c>
      <c r="D107" s="24" t="s">
        <v>181</v>
      </c>
      <c r="H107" s="18" t="s">
        <v>46</v>
      </c>
      <c r="I107" s="16"/>
      <c r="J107" s="35"/>
      <c r="K107" s="22"/>
      <c r="L107" s="23"/>
      <c r="M107" s="23"/>
      <c r="N107" s="23"/>
      <c r="O107" s="23"/>
    </row>
    <row r="108">
      <c r="A108" s="16">
        <f t="shared" si="1"/>
        <v>107</v>
      </c>
      <c r="B108" s="17">
        <v>45187.0</v>
      </c>
      <c r="C108" s="18" t="s">
        <v>92</v>
      </c>
      <c r="D108" s="32" t="s">
        <v>182</v>
      </c>
      <c r="E108" s="32"/>
      <c r="F108" s="32"/>
      <c r="G108" s="32"/>
      <c r="H108" s="18" t="s">
        <v>27</v>
      </c>
      <c r="I108" s="18" t="s">
        <v>24</v>
      </c>
      <c r="J108" s="35" t="s">
        <v>66</v>
      </c>
      <c r="K108" s="24" t="s">
        <v>183</v>
      </c>
      <c r="L108" s="23"/>
      <c r="M108" s="23"/>
      <c r="N108" s="23"/>
      <c r="O108" s="23"/>
    </row>
    <row r="109">
      <c r="A109" s="16">
        <f t="shared" si="1"/>
        <v>108</v>
      </c>
      <c r="B109" s="17">
        <v>45187.0</v>
      </c>
      <c r="C109" s="18" t="s">
        <v>110</v>
      </c>
      <c r="D109" s="33" t="s">
        <v>184</v>
      </c>
      <c r="E109" s="32"/>
      <c r="F109" s="32"/>
      <c r="G109" s="32"/>
      <c r="H109" s="18" t="s">
        <v>27</v>
      </c>
      <c r="I109" s="18" t="s">
        <v>65</v>
      </c>
      <c r="J109" s="35" t="s">
        <v>62</v>
      </c>
      <c r="K109" s="22"/>
      <c r="L109" s="23"/>
      <c r="M109" s="23"/>
      <c r="N109" s="23"/>
      <c r="O109" s="23"/>
    </row>
    <row r="110">
      <c r="A110" s="16">
        <f t="shared" si="1"/>
        <v>109</v>
      </c>
      <c r="B110" s="17">
        <v>45188.0</v>
      </c>
      <c r="C110" s="18" t="s">
        <v>110</v>
      </c>
      <c r="D110" s="24" t="s">
        <v>185</v>
      </c>
      <c r="H110" s="18" t="s">
        <v>27</v>
      </c>
      <c r="I110" s="18" t="s">
        <v>65</v>
      </c>
      <c r="J110" s="24" t="s">
        <v>62</v>
      </c>
      <c r="K110" s="22"/>
      <c r="L110" s="23"/>
      <c r="M110" s="23"/>
      <c r="N110" s="23"/>
      <c r="O110" s="23"/>
    </row>
    <row r="111">
      <c r="A111" s="16">
        <f t="shared" si="1"/>
        <v>110</v>
      </c>
      <c r="B111" s="17">
        <v>45188.0</v>
      </c>
      <c r="C111" s="18" t="s">
        <v>110</v>
      </c>
      <c r="D111" s="24" t="s">
        <v>186</v>
      </c>
      <c r="H111" s="18" t="s">
        <v>27</v>
      </c>
      <c r="I111" s="18" t="s">
        <v>24</v>
      </c>
      <c r="J111" s="35" t="s">
        <v>66</v>
      </c>
      <c r="K111" s="24" t="s">
        <v>187</v>
      </c>
      <c r="L111" s="23"/>
      <c r="M111" s="23"/>
      <c r="N111" s="23"/>
      <c r="O111" s="23"/>
    </row>
    <row r="112">
      <c r="A112" s="16">
        <f t="shared" si="1"/>
        <v>111</v>
      </c>
      <c r="B112" s="17">
        <v>45188.0</v>
      </c>
      <c r="C112" s="18" t="s">
        <v>110</v>
      </c>
      <c r="D112" s="24" t="s">
        <v>188</v>
      </c>
      <c r="H112" s="18" t="s">
        <v>27</v>
      </c>
      <c r="I112" s="18" t="s">
        <v>65</v>
      </c>
      <c r="J112" s="24" t="s">
        <v>62</v>
      </c>
      <c r="K112" s="22"/>
      <c r="L112" s="23"/>
      <c r="M112" s="23"/>
      <c r="N112" s="23"/>
      <c r="O112" s="23"/>
    </row>
    <row r="113">
      <c r="A113" s="16">
        <f t="shared" si="1"/>
        <v>112</v>
      </c>
      <c r="B113" s="17">
        <v>45188.0</v>
      </c>
      <c r="C113" s="18" t="s">
        <v>92</v>
      </c>
      <c r="D113" s="24" t="s">
        <v>189</v>
      </c>
      <c r="H113" s="18" t="s">
        <v>27</v>
      </c>
      <c r="I113" s="18" t="s">
        <v>24</v>
      </c>
      <c r="J113" s="22" t="s">
        <v>66</v>
      </c>
      <c r="K113" s="22"/>
      <c r="L113" s="23"/>
      <c r="M113" s="23"/>
      <c r="N113" s="23"/>
      <c r="O113" s="23"/>
    </row>
    <row r="114">
      <c r="A114" s="16">
        <f t="shared" si="1"/>
        <v>113</v>
      </c>
      <c r="B114" s="17">
        <v>45189.0</v>
      </c>
      <c r="C114" s="18" t="s">
        <v>110</v>
      </c>
      <c r="D114" s="24" t="s">
        <v>190</v>
      </c>
      <c r="H114" s="18" t="s">
        <v>27</v>
      </c>
      <c r="I114" s="18" t="s">
        <v>24</v>
      </c>
      <c r="J114" s="29" t="s">
        <v>25</v>
      </c>
      <c r="K114" s="24" t="s">
        <v>191</v>
      </c>
      <c r="L114" s="23"/>
      <c r="M114" s="23"/>
      <c r="N114" s="23"/>
      <c r="O114" s="23"/>
    </row>
    <row r="115">
      <c r="A115" s="16">
        <f t="shared" si="1"/>
        <v>114</v>
      </c>
      <c r="B115" s="17">
        <v>45189.0</v>
      </c>
      <c r="C115" s="18" t="s">
        <v>110</v>
      </c>
      <c r="D115" s="24" t="s">
        <v>192</v>
      </c>
      <c r="H115" s="18" t="s">
        <v>27</v>
      </c>
      <c r="I115" s="18" t="s">
        <v>24</v>
      </c>
      <c r="J115" s="35" t="s">
        <v>66</v>
      </c>
      <c r="K115" s="22"/>
      <c r="L115" s="23"/>
      <c r="M115" s="23"/>
      <c r="N115" s="23"/>
      <c r="O115" s="23"/>
    </row>
    <row r="116">
      <c r="A116" s="16">
        <f t="shared" si="1"/>
        <v>115</v>
      </c>
      <c r="B116" s="17">
        <v>45191.0</v>
      </c>
      <c r="C116" s="18" t="s">
        <v>44</v>
      </c>
      <c r="D116" s="24" t="s">
        <v>193</v>
      </c>
      <c r="G116" s="36" t="s">
        <v>194</v>
      </c>
      <c r="H116" s="18" t="s">
        <v>27</v>
      </c>
      <c r="I116" s="18" t="s">
        <v>65</v>
      </c>
      <c r="J116" s="29" t="s">
        <v>78</v>
      </c>
      <c r="K116" s="24" t="s">
        <v>195</v>
      </c>
      <c r="L116" s="23"/>
      <c r="M116" s="23"/>
      <c r="N116" s="23"/>
      <c r="O116" s="23"/>
    </row>
    <row r="117">
      <c r="A117" s="16">
        <f t="shared" si="1"/>
        <v>116</v>
      </c>
      <c r="B117" s="17">
        <v>45191.0</v>
      </c>
      <c r="C117" s="18" t="s">
        <v>44</v>
      </c>
      <c r="D117" s="18" t="s">
        <v>196</v>
      </c>
      <c r="G117" s="18" t="s">
        <v>197</v>
      </c>
      <c r="H117" s="18" t="s">
        <v>27</v>
      </c>
      <c r="I117" s="18" t="s">
        <v>65</v>
      </c>
      <c r="J117" s="29" t="s">
        <v>78</v>
      </c>
      <c r="K117" s="22"/>
      <c r="L117" s="23"/>
      <c r="M117" s="23"/>
      <c r="N117" s="23"/>
      <c r="O117" s="23"/>
    </row>
    <row r="118">
      <c r="A118" s="16">
        <f t="shared" si="1"/>
        <v>117</v>
      </c>
      <c r="B118" s="17">
        <v>45191.0</v>
      </c>
      <c r="C118" s="18" t="s">
        <v>44</v>
      </c>
      <c r="D118" s="24" t="s">
        <v>198</v>
      </c>
      <c r="H118" s="18" t="s">
        <v>46</v>
      </c>
      <c r="J118" s="22"/>
      <c r="K118" s="22"/>
      <c r="L118" s="23"/>
      <c r="M118" s="23"/>
      <c r="N118" s="23"/>
      <c r="O118" s="23"/>
    </row>
    <row r="119">
      <c r="A119" s="16">
        <f t="shared" si="1"/>
        <v>118</v>
      </c>
      <c r="B119" s="37">
        <v>45192.0</v>
      </c>
      <c r="C119" s="18" t="s">
        <v>44</v>
      </c>
      <c r="D119" s="24" t="s">
        <v>199</v>
      </c>
      <c r="H119" s="18" t="s">
        <v>23</v>
      </c>
      <c r="J119" s="22"/>
      <c r="K119" s="22"/>
      <c r="L119" s="23"/>
      <c r="M119" s="23"/>
      <c r="N119" s="23"/>
      <c r="O119" s="23"/>
    </row>
    <row r="120">
      <c r="A120" s="16">
        <f t="shared" si="1"/>
        <v>119</v>
      </c>
      <c r="B120" s="37">
        <v>45192.0</v>
      </c>
      <c r="C120" s="18" t="s">
        <v>44</v>
      </c>
      <c r="D120" s="24" t="s">
        <v>200</v>
      </c>
      <c r="H120" s="18" t="s">
        <v>23</v>
      </c>
      <c r="J120" s="22"/>
      <c r="K120" s="22"/>
      <c r="L120" s="23"/>
      <c r="M120" s="23"/>
      <c r="N120" s="23"/>
      <c r="O120" s="23"/>
    </row>
    <row r="121">
      <c r="A121" s="16">
        <f t="shared" si="1"/>
        <v>120</v>
      </c>
      <c r="B121" s="37">
        <v>45192.0</v>
      </c>
      <c r="C121" s="18" t="s">
        <v>44</v>
      </c>
      <c r="D121" s="24" t="s">
        <v>201</v>
      </c>
      <c r="H121" s="18" t="s">
        <v>27</v>
      </c>
      <c r="J121" s="22"/>
      <c r="K121" s="22"/>
      <c r="L121" s="23"/>
      <c r="M121" s="23"/>
      <c r="N121" s="23"/>
      <c r="O121" s="23"/>
    </row>
    <row r="122">
      <c r="A122" s="16">
        <f t="shared" si="1"/>
        <v>121</v>
      </c>
      <c r="B122" s="38">
        <v>45194.0</v>
      </c>
      <c r="C122" s="32" t="s">
        <v>110</v>
      </c>
      <c r="D122" s="24" t="s">
        <v>202</v>
      </c>
      <c r="H122" s="18" t="s">
        <v>27</v>
      </c>
      <c r="I122" s="18" t="s">
        <v>24</v>
      </c>
      <c r="J122" s="22"/>
      <c r="K122" s="22"/>
      <c r="L122" s="23"/>
      <c r="M122" s="23"/>
      <c r="N122" s="23"/>
      <c r="O122" s="23"/>
    </row>
    <row r="123">
      <c r="A123" s="16">
        <f t="shared" si="1"/>
        <v>122</v>
      </c>
      <c r="B123" s="38">
        <v>45194.0</v>
      </c>
      <c r="C123" s="18" t="s">
        <v>44</v>
      </c>
      <c r="D123" s="33" t="s">
        <v>203</v>
      </c>
      <c r="H123" s="18" t="s">
        <v>27</v>
      </c>
      <c r="I123" s="18" t="s">
        <v>65</v>
      </c>
      <c r="J123" s="22"/>
      <c r="K123" s="22"/>
      <c r="L123" s="23"/>
      <c r="M123" s="23"/>
      <c r="N123" s="23"/>
      <c r="O123" s="23"/>
    </row>
    <row r="124">
      <c r="A124" s="16">
        <f t="shared" si="1"/>
        <v>123</v>
      </c>
      <c r="B124" s="38">
        <v>45194.0</v>
      </c>
      <c r="C124" s="18" t="s">
        <v>44</v>
      </c>
      <c r="D124" s="32" t="s">
        <v>204</v>
      </c>
      <c r="H124" s="18" t="s">
        <v>27</v>
      </c>
      <c r="I124" s="18" t="s">
        <v>65</v>
      </c>
      <c r="J124" s="22"/>
      <c r="K124" s="22"/>
      <c r="L124" s="23"/>
      <c r="M124" s="23"/>
      <c r="N124" s="23"/>
      <c r="O124" s="23"/>
    </row>
    <row r="125">
      <c r="A125" s="16">
        <f t="shared" si="1"/>
        <v>124</v>
      </c>
      <c r="B125" s="38">
        <v>45194.0</v>
      </c>
      <c r="C125" s="18" t="s">
        <v>44</v>
      </c>
      <c r="D125" s="24" t="s">
        <v>205</v>
      </c>
      <c r="H125" s="18" t="s">
        <v>27</v>
      </c>
      <c r="I125" s="18" t="s">
        <v>65</v>
      </c>
      <c r="J125" s="22"/>
      <c r="K125" s="22"/>
      <c r="L125" s="23"/>
      <c r="M125" s="23"/>
      <c r="N125" s="23"/>
      <c r="O125" s="23"/>
    </row>
    <row r="126">
      <c r="A126" s="16">
        <f t="shared" si="1"/>
        <v>125</v>
      </c>
      <c r="B126" s="38">
        <v>45194.0</v>
      </c>
      <c r="C126" s="18" t="s">
        <v>44</v>
      </c>
      <c r="D126" s="18" t="s">
        <v>206</v>
      </c>
      <c r="H126" s="18" t="s">
        <v>27</v>
      </c>
      <c r="I126" s="18" t="s">
        <v>65</v>
      </c>
      <c r="J126" s="22"/>
      <c r="K126" s="22"/>
      <c r="L126" s="23"/>
      <c r="M126" s="23"/>
      <c r="N126" s="23"/>
      <c r="O126" s="23"/>
    </row>
    <row r="127">
      <c r="A127" s="16">
        <f t="shared" si="1"/>
        <v>126</v>
      </c>
      <c r="B127" s="38">
        <v>45194.0</v>
      </c>
      <c r="C127" s="18" t="s">
        <v>44</v>
      </c>
      <c r="D127" s="18" t="s">
        <v>207</v>
      </c>
      <c r="H127" s="18" t="s">
        <v>27</v>
      </c>
      <c r="I127" s="18" t="s">
        <v>65</v>
      </c>
      <c r="J127" s="22"/>
      <c r="K127" s="22"/>
      <c r="L127" s="23"/>
      <c r="M127" s="23"/>
      <c r="N127" s="23"/>
      <c r="O127" s="23"/>
    </row>
    <row r="128">
      <c r="A128" s="16">
        <f t="shared" si="1"/>
        <v>127</v>
      </c>
      <c r="B128" s="38">
        <v>45194.0</v>
      </c>
      <c r="C128" s="18" t="s">
        <v>44</v>
      </c>
      <c r="D128" s="24" t="s">
        <v>208</v>
      </c>
      <c r="H128" s="18" t="s">
        <v>27</v>
      </c>
      <c r="I128" s="18" t="s">
        <v>65</v>
      </c>
      <c r="J128" s="22"/>
      <c r="K128" s="22"/>
      <c r="L128" s="23"/>
      <c r="M128" s="23"/>
      <c r="N128" s="23"/>
      <c r="O128" s="23"/>
    </row>
    <row r="129">
      <c r="A129" s="16">
        <f t="shared" si="1"/>
        <v>128</v>
      </c>
      <c r="B129" s="38">
        <v>45194.0</v>
      </c>
      <c r="C129" s="18" t="s">
        <v>44</v>
      </c>
      <c r="D129" s="29" t="s">
        <v>209</v>
      </c>
      <c r="H129" s="18" t="s">
        <v>27</v>
      </c>
      <c r="I129" s="18" t="s">
        <v>65</v>
      </c>
      <c r="J129" s="22"/>
      <c r="K129" s="24" t="s">
        <v>210</v>
      </c>
      <c r="L129" s="23"/>
      <c r="M129" s="23"/>
      <c r="N129" s="23"/>
      <c r="O129" s="23"/>
    </row>
    <row r="130">
      <c r="A130" s="16">
        <f t="shared" si="1"/>
        <v>129</v>
      </c>
      <c r="B130" s="38">
        <v>45194.0</v>
      </c>
      <c r="C130" s="18" t="s">
        <v>44</v>
      </c>
      <c r="D130" s="24" t="s">
        <v>211</v>
      </c>
      <c r="H130" s="18" t="s">
        <v>27</v>
      </c>
      <c r="I130" s="18" t="s">
        <v>65</v>
      </c>
      <c r="J130" s="22"/>
      <c r="K130" s="22"/>
      <c r="L130" s="23"/>
      <c r="M130" s="23"/>
      <c r="N130" s="23"/>
      <c r="O130" s="23"/>
    </row>
    <row r="131">
      <c r="A131" s="16">
        <f t="shared" si="1"/>
        <v>130</v>
      </c>
      <c r="B131" s="38">
        <v>45194.0</v>
      </c>
      <c r="C131" s="18" t="s">
        <v>44</v>
      </c>
      <c r="D131" s="24" t="s">
        <v>212</v>
      </c>
      <c r="H131" s="18" t="s">
        <v>27</v>
      </c>
      <c r="I131" s="18" t="s">
        <v>65</v>
      </c>
      <c r="J131" s="22"/>
      <c r="K131" s="22"/>
      <c r="L131" s="23"/>
      <c r="M131" s="23"/>
      <c r="N131" s="23"/>
      <c r="O131" s="23"/>
    </row>
    <row r="132">
      <c r="A132" s="16">
        <f t="shared" si="1"/>
        <v>131</v>
      </c>
      <c r="B132" s="38">
        <v>45194.0</v>
      </c>
      <c r="C132" s="32" t="s">
        <v>110</v>
      </c>
      <c r="D132" s="24" t="s">
        <v>213</v>
      </c>
      <c r="H132" s="18" t="s">
        <v>27</v>
      </c>
      <c r="I132" s="18" t="s">
        <v>65</v>
      </c>
      <c r="J132" s="22"/>
      <c r="K132" s="22"/>
      <c r="L132" s="23"/>
      <c r="M132" s="23"/>
      <c r="N132" s="23"/>
      <c r="O132" s="23"/>
    </row>
    <row r="133">
      <c r="A133" s="16">
        <f t="shared" si="1"/>
        <v>132</v>
      </c>
      <c r="B133" s="38">
        <v>45194.0</v>
      </c>
      <c r="C133" s="32" t="s">
        <v>110</v>
      </c>
      <c r="D133" s="24" t="s">
        <v>214</v>
      </c>
      <c r="H133" s="18" t="s">
        <v>27</v>
      </c>
      <c r="I133" s="18" t="s">
        <v>65</v>
      </c>
      <c r="J133" s="24" t="s">
        <v>25</v>
      </c>
      <c r="K133" s="22"/>
      <c r="L133" s="23"/>
      <c r="M133" s="23"/>
      <c r="N133" s="23"/>
      <c r="O133" s="23"/>
    </row>
    <row r="134">
      <c r="A134" s="16">
        <f t="shared" si="1"/>
        <v>133</v>
      </c>
      <c r="B134" s="38">
        <v>45194.0</v>
      </c>
      <c r="C134" s="18" t="s">
        <v>44</v>
      </c>
      <c r="D134" s="24" t="s">
        <v>215</v>
      </c>
      <c r="H134" s="18" t="s">
        <v>27</v>
      </c>
      <c r="I134" s="18" t="s">
        <v>65</v>
      </c>
      <c r="J134" s="22"/>
      <c r="K134" s="24" t="s">
        <v>216</v>
      </c>
      <c r="L134" s="23"/>
      <c r="M134" s="23"/>
      <c r="N134" s="23"/>
      <c r="O134" s="23"/>
    </row>
    <row r="135">
      <c r="A135" s="16">
        <f t="shared" si="1"/>
        <v>134</v>
      </c>
      <c r="B135" s="17">
        <v>45195.0</v>
      </c>
      <c r="C135" s="18" t="s">
        <v>87</v>
      </c>
      <c r="D135" s="24" t="s">
        <v>217</v>
      </c>
      <c r="H135" s="18" t="s">
        <v>27</v>
      </c>
      <c r="I135" s="18" t="s">
        <v>65</v>
      </c>
      <c r="J135" s="22"/>
      <c r="K135" s="22"/>
      <c r="L135" s="23"/>
      <c r="M135" s="23"/>
      <c r="N135" s="23"/>
      <c r="O135" s="23"/>
    </row>
    <row r="136">
      <c r="A136" s="16">
        <f t="shared" si="1"/>
        <v>135</v>
      </c>
      <c r="B136" s="17">
        <v>45195.0</v>
      </c>
      <c r="C136" s="32" t="s">
        <v>110</v>
      </c>
      <c r="D136" s="32" t="s">
        <v>218</v>
      </c>
      <c r="H136" s="18" t="s">
        <v>27</v>
      </c>
      <c r="I136" s="18" t="s">
        <v>24</v>
      </c>
      <c r="J136" s="24" t="s">
        <v>62</v>
      </c>
      <c r="K136" s="22"/>
      <c r="L136" s="23"/>
      <c r="M136" s="23"/>
      <c r="N136" s="23"/>
      <c r="O136" s="23"/>
    </row>
    <row r="137">
      <c r="A137" s="16">
        <f t="shared" si="1"/>
        <v>136</v>
      </c>
      <c r="B137" s="17">
        <v>45196.0</v>
      </c>
      <c r="C137" s="18" t="s">
        <v>44</v>
      </c>
      <c r="D137" s="18" t="s">
        <v>219</v>
      </c>
      <c r="H137" s="18" t="s">
        <v>27</v>
      </c>
      <c r="I137" s="18" t="s">
        <v>65</v>
      </c>
      <c r="J137" s="22"/>
      <c r="K137" s="22"/>
      <c r="L137" s="23"/>
      <c r="M137" s="23"/>
      <c r="N137" s="23"/>
      <c r="O137" s="23"/>
    </row>
    <row r="138">
      <c r="A138" s="16">
        <f t="shared" si="1"/>
        <v>137</v>
      </c>
      <c r="B138" s="17">
        <v>45196.0</v>
      </c>
      <c r="C138" s="18" t="s">
        <v>44</v>
      </c>
      <c r="D138" s="24" t="s">
        <v>220</v>
      </c>
      <c r="H138" s="18" t="s">
        <v>27</v>
      </c>
      <c r="I138" s="18" t="s">
        <v>65</v>
      </c>
      <c r="J138" s="22"/>
      <c r="K138" s="22"/>
      <c r="L138" s="23"/>
      <c r="M138" s="23"/>
      <c r="N138" s="23"/>
      <c r="O138" s="23"/>
    </row>
    <row r="139">
      <c r="A139" s="16">
        <f t="shared" si="1"/>
        <v>138</v>
      </c>
      <c r="B139" s="17">
        <v>45196.0</v>
      </c>
      <c r="C139" s="18" t="s">
        <v>44</v>
      </c>
      <c r="D139" s="24" t="s">
        <v>221</v>
      </c>
      <c r="H139" s="18" t="s">
        <v>27</v>
      </c>
      <c r="I139" s="18" t="s">
        <v>65</v>
      </c>
      <c r="J139" s="22"/>
      <c r="K139" s="22"/>
      <c r="L139" s="23"/>
      <c r="M139" s="23"/>
      <c r="N139" s="23"/>
      <c r="O139" s="23"/>
    </row>
    <row r="140">
      <c r="A140" s="16">
        <f t="shared" si="1"/>
        <v>139</v>
      </c>
      <c r="B140" s="17">
        <v>45196.0</v>
      </c>
      <c r="C140" s="18" t="s">
        <v>44</v>
      </c>
      <c r="D140" s="24" t="s">
        <v>222</v>
      </c>
      <c r="H140" s="18" t="s">
        <v>27</v>
      </c>
      <c r="I140" s="18" t="s">
        <v>65</v>
      </c>
      <c r="J140" s="24" t="s">
        <v>62</v>
      </c>
      <c r="K140" s="22"/>
      <c r="L140" s="23"/>
      <c r="M140" s="23"/>
      <c r="N140" s="23"/>
      <c r="O140" s="23"/>
    </row>
    <row r="141">
      <c r="A141" s="16">
        <f t="shared" si="1"/>
        <v>140</v>
      </c>
      <c r="B141" s="17">
        <v>45196.0</v>
      </c>
      <c r="C141" s="32" t="s">
        <v>110</v>
      </c>
      <c r="D141" s="27" t="s">
        <v>223</v>
      </c>
      <c r="H141" s="18" t="s">
        <v>27</v>
      </c>
      <c r="I141" s="18" t="s">
        <v>65</v>
      </c>
      <c r="J141" s="22"/>
      <c r="K141" s="22"/>
      <c r="L141" s="23"/>
      <c r="M141" s="23"/>
      <c r="N141" s="23"/>
      <c r="O141" s="23"/>
    </row>
    <row r="142">
      <c r="A142" s="16">
        <f t="shared" si="1"/>
        <v>141</v>
      </c>
      <c r="B142" s="17">
        <v>45196.0</v>
      </c>
      <c r="C142" s="32" t="s">
        <v>110</v>
      </c>
      <c r="D142" s="24" t="s">
        <v>224</v>
      </c>
      <c r="H142" s="18" t="s">
        <v>27</v>
      </c>
      <c r="I142" s="18" t="s">
        <v>65</v>
      </c>
      <c r="J142" s="22"/>
      <c r="K142" s="24" t="s">
        <v>225</v>
      </c>
      <c r="L142" s="23"/>
      <c r="M142" s="23"/>
      <c r="N142" s="23"/>
      <c r="O142" s="23"/>
    </row>
    <row r="143">
      <c r="A143" s="16">
        <f t="shared" si="1"/>
        <v>142</v>
      </c>
      <c r="B143" s="17">
        <v>45196.0</v>
      </c>
      <c r="C143" s="32" t="s">
        <v>110</v>
      </c>
      <c r="D143" s="24" t="s">
        <v>226</v>
      </c>
      <c r="H143" s="18" t="s">
        <v>27</v>
      </c>
      <c r="I143" s="18" t="s">
        <v>65</v>
      </c>
      <c r="J143" s="24" t="s">
        <v>66</v>
      </c>
      <c r="K143" s="22"/>
      <c r="L143" s="23"/>
      <c r="M143" s="23"/>
      <c r="N143" s="23"/>
      <c r="O143" s="23"/>
    </row>
    <row r="144">
      <c r="A144" s="16">
        <f t="shared" si="1"/>
        <v>143</v>
      </c>
      <c r="B144" s="17">
        <v>45201.0</v>
      </c>
      <c r="C144" s="18" t="s">
        <v>139</v>
      </c>
      <c r="D144" s="24" t="s">
        <v>227</v>
      </c>
      <c r="H144" s="18" t="s">
        <v>27</v>
      </c>
      <c r="J144" s="22"/>
      <c r="K144" s="22"/>
      <c r="L144" s="23"/>
      <c r="M144" s="23"/>
      <c r="N144" s="23"/>
      <c r="O144" s="23"/>
    </row>
    <row r="145">
      <c r="A145" s="16">
        <f t="shared" si="1"/>
        <v>144</v>
      </c>
      <c r="B145" s="17">
        <v>45201.0</v>
      </c>
      <c r="C145" s="18" t="s">
        <v>92</v>
      </c>
      <c r="D145" s="24" t="s">
        <v>228</v>
      </c>
      <c r="H145" s="18" t="s">
        <v>27</v>
      </c>
      <c r="I145" s="18" t="s">
        <v>65</v>
      </c>
      <c r="J145" s="22"/>
      <c r="K145" s="22"/>
      <c r="L145" s="23"/>
      <c r="M145" s="23"/>
      <c r="N145" s="23"/>
      <c r="O145" s="23"/>
    </row>
    <row r="146">
      <c r="A146" s="16">
        <f t="shared" si="1"/>
        <v>145</v>
      </c>
      <c r="B146" s="17">
        <v>45201.0</v>
      </c>
      <c r="C146" s="32" t="s">
        <v>110</v>
      </c>
      <c r="D146" s="24" t="s">
        <v>229</v>
      </c>
      <c r="H146" s="18" t="s">
        <v>27</v>
      </c>
      <c r="I146" s="18" t="s">
        <v>65</v>
      </c>
      <c r="J146" s="22"/>
      <c r="K146" s="22"/>
      <c r="L146" s="23"/>
      <c r="M146" s="23"/>
      <c r="N146" s="23"/>
      <c r="O146" s="23"/>
    </row>
    <row r="147">
      <c r="A147" s="16">
        <f t="shared" si="1"/>
        <v>146</v>
      </c>
      <c r="B147" s="17">
        <v>45201.0</v>
      </c>
      <c r="C147" s="32" t="s">
        <v>110</v>
      </c>
      <c r="D147" s="24" t="s">
        <v>230</v>
      </c>
      <c r="H147" s="18" t="s">
        <v>27</v>
      </c>
      <c r="I147" s="18" t="s">
        <v>65</v>
      </c>
      <c r="J147" s="24" t="s">
        <v>25</v>
      </c>
      <c r="K147" s="22"/>
      <c r="L147" s="23"/>
      <c r="M147" s="23"/>
      <c r="N147" s="23"/>
      <c r="O147" s="23"/>
    </row>
    <row r="148">
      <c r="A148" s="16">
        <f t="shared" si="1"/>
        <v>147</v>
      </c>
      <c r="B148" s="17">
        <v>45201.0</v>
      </c>
      <c r="C148" s="18" t="s">
        <v>44</v>
      </c>
      <c r="D148" s="24" t="s">
        <v>231</v>
      </c>
      <c r="H148" s="18" t="s">
        <v>27</v>
      </c>
      <c r="I148" s="18" t="s">
        <v>65</v>
      </c>
      <c r="J148" s="22"/>
      <c r="K148" s="22"/>
      <c r="L148" s="23"/>
      <c r="M148" s="23"/>
      <c r="N148" s="23"/>
      <c r="O148" s="23"/>
    </row>
    <row r="149">
      <c r="A149" s="16">
        <f t="shared" si="1"/>
        <v>148</v>
      </c>
      <c r="B149" s="17">
        <v>45201.0</v>
      </c>
      <c r="C149" s="32" t="s">
        <v>110</v>
      </c>
      <c r="D149" s="24" t="s">
        <v>232</v>
      </c>
      <c r="H149" s="18" t="s">
        <v>27</v>
      </c>
      <c r="I149" s="18" t="s">
        <v>24</v>
      </c>
      <c r="J149" s="24" t="s">
        <v>66</v>
      </c>
      <c r="K149" s="22"/>
      <c r="L149" s="23"/>
      <c r="M149" s="23"/>
      <c r="N149" s="23"/>
      <c r="O149" s="23"/>
    </row>
    <row r="150">
      <c r="A150" s="16">
        <f t="shared" si="1"/>
        <v>149</v>
      </c>
      <c r="B150" s="17">
        <v>45201.0</v>
      </c>
      <c r="C150" s="18" t="s">
        <v>44</v>
      </c>
      <c r="D150" s="24" t="s">
        <v>233</v>
      </c>
      <c r="H150" s="18" t="s">
        <v>27</v>
      </c>
      <c r="I150" s="18" t="s">
        <v>65</v>
      </c>
      <c r="J150" s="22"/>
      <c r="K150" s="22"/>
      <c r="L150" s="23"/>
      <c r="M150" s="23"/>
      <c r="N150" s="23"/>
      <c r="O150" s="23"/>
    </row>
    <row r="151">
      <c r="A151" s="16">
        <f t="shared" si="1"/>
        <v>150</v>
      </c>
      <c r="B151" s="17">
        <v>45201.0</v>
      </c>
      <c r="C151" s="18" t="s">
        <v>87</v>
      </c>
      <c r="D151" s="24" t="s">
        <v>234</v>
      </c>
      <c r="H151" s="18" t="s">
        <v>71</v>
      </c>
      <c r="I151" s="18" t="s">
        <v>24</v>
      </c>
      <c r="J151" s="22"/>
      <c r="K151" s="22"/>
      <c r="L151" s="23"/>
      <c r="M151" s="23"/>
      <c r="N151" s="23"/>
      <c r="O151" s="23"/>
    </row>
    <row r="152">
      <c r="A152" s="16">
        <f t="shared" si="1"/>
        <v>151</v>
      </c>
      <c r="B152" s="17">
        <v>45201.0</v>
      </c>
      <c r="C152" s="32" t="s">
        <v>110</v>
      </c>
      <c r="D152" s="24" t="s">
        <v>235</v>
      </c>
      <c r="H152" s="18" t="s">
        <v>27</v>
      </c>
      <c r="I152" s="18" t="s">
        <v>65</v>
      </c>
      <c r="J152" s="22"/>
      <c r="K152" s="22"/>
      <c r="L152" s="23"/>
      <c r="M152" s="23"/>
      <c r="N152" s="23"/>
      <c r="O152" s="23"/>
    </row>
    <row r="153">
      <c r="A153" s="16">
        <f t="shared" si="1"/>
        <v>152</v>
      </c>
      <c r="B153" s="17">
        <v>45202.0</v>
      </c>
      <c r="C153" s="18" t="s">
        <v>87</v>
      </c>
      <c r="D153" s="24" t="s">
        <v>236</v>
      </c>
      <c r="H153" s="18" t="s">
        <v>31</v>
      </c>
      <c r="I153" s="18" t="s">
        <v>65</v>
      </c>
      <c r="J153" s="24" t="s">
        <v>78</v>
      </c>
      <c r="K153" s="22"/>
      <c r="L153" s="23"/>
      <c r="M153" s="23"/>
      <c r="N153" s="23"/>
      <c r="O153" s="23"/>
    </row>
    <row r="154">
      <c r="A154" s="16">
        <f t="shared" si="1"/>
        <v>153</v>
      </c>
      <c r="B154" s="17">
        <v>45204.0</v>
      </c>
      <c r="C154" s="32" t="s">
        <v>110</v>
      </c>
      <c r="D154" s="24" t="s">
        <v>237</v>
      </c>
      <c r="H154" s="18" t="s">
        <v>27</v>
      </c>
      <c r="I154" s="18" t="s">
        <v>24</v>
      </c>
      <c r="J154" s="22"/>
      <c r="K154" s="22"/>
      <c r="L154" s="23"/>
      <c r="M154" s="23"/>
      <c r="N154" s="23"/>
      <c r="O154" s="23"/>
    </row>
    <row r="155">
      <c r="A155" s="16">
        <f t="shared" si="1"/>
        <v>154</v>
      </c>
      <c r="B155" s="17">
        <v>45204.0</v>
      </c>
      <c r="C155" s="32" t="s">
        <v>110</v>
      </c>
      <c r="D155" s="24" t="s">
        <v>238</v>
      </c>
      <c r="H155" s="18" t="s">
        <v>27</v>
      </c>
      <c r="I155" s="18" t="s">
        <v>24</v>
      </c>
      <c r="J155" s="22"/>
      <c r="K155" s="22"/>
      <c r="L155" s="23"/>
      <c r="M155" s="23"/>
      <c r="N155" s="23"/>
      <c r="O155" s="23"/>
    </row>
    <row r="156">
      <c r="A156" s="16">
        <f t="shared" si="1"/>
        <v>155</v>
      </c>
      <c r="B156" s="17">
        <v>45215.0</v>
      </c>
      <c r="C156" s="32" t="s">
        <v>110</v>
      </c>
      <c r="D156" s="27" t="s">
        <v>239</v>
      </c>
      <c r="H156" s="18" t="s">
        <v>27</v>
      </c>
      <c r="I156" s="18" t="s">
        <v>65</v>
      </c>
      <c r="J156" s="22"/>
      <c r="K156" s="22"/>
      <c r="L156" s="23"/>
      <c r="M156" s="23"/>
      <c r="N156" s="23"/>
      <c r="O156" s="23"/>
    </row>
    <row r="157">
      <c r="A157" s="16">
        <f t="shared" si="1"/>
        <v>156</v>
      </c>
      <c r="B157" s="17">
        <v>45215.0</v>
      </c>
      <c r="C157" s="32" t="s">
        <v>110</v>
      </c>
      <c r="D157" s="39" t="s">
        <v>240</v>
      </c>
      <c r="H157" s="18" t="s">
        <v>27</v>
      </c>
      <c r="I157" s="18" t="s">
        <v>65</v>
      </c>
      <c r="J157" s="22"/>
      <c r="K157" s="22"/>
      <c r="L157" s="23"/>
      <c r="M157" s="23"/>
      <c r="N157" s="23"/>
      <c r="O157" s="23"/>
    </row>
    <row r="158">
      <c r="A158" s="16">
        <f t="shared" si="1"/>
        <v>157</v>
      </c>
      <c r="B158" s="17">
        <v>45215.0</v>
      </c>
      <c r="C158" s="18" t="s">
        <v>92</v>
      </c>
      <c r="D158" s="24" t="s">
        <v>241</v>
      </c>
      <c r="H158" s="18" t="s">
        <v>27</v>
      </c>
      <c r="I158" s="18" t="s">
        <v>65</v>
      </c>
      <c r="J158" s="22"/>
      <c r="K158" s="22"/>
      <c r="L158" s="23"/>
      <c r="M158" s="23"/>
      <c r="N158" s="23"/>
      <c r="O158" s="23"/>
    </row>
    <row r="159">
      <c r="A159" s="16">
        <f t="shared" si="1"/>
        <v>158</v>
      </c>
      <c r="B159" s="17">
        <v>45215.0</v>
      </c>
      <c r="C159" s="18" t="s">
        <v>92</v>
      </c>
      <c r="D159" s="24" t="s">
        <v>242</v>
      </c>
      <c r="H159" s="18" t="s">
        <v>27</v>
      </c>
      <c r="I159" s="18" t="s">
        <v>65</v>
      </c>
      <c r="J159" s="22"/>
      <c r="K159" s="22"/>
      <c r="L159" s="23"/>
      <c r="M159" s="23"/>
      <c r="N159" s="23"/>
      <c r="O159" s="23"/>
    </row>
    <row r="160">
      <c r="A160" s="16">
        <f t="shared" si="1"/>
        <v>159</v>
      </c>
      <c r="B160" s="17">
        <v>45215.0</v>
      </c>
      <c r="C160" s="18" t="s">
        <v>92</v>
      </c>
      <c r="D160" s="24" t="s">
        <v>243</v>
      </c>
      <c r="H160" s="18" t="s">
        <v>27</v>
      </c>
      <c r="I160" s="18" t="s">
        <v>65</v>
      </c>
      <c r="J160" s="22"/>
      <c r="K160" s="22"/>
      <c r="L160" s="23"/>
      <c r="M160" s="23"/>
      <c r="N160" s="23"/>
      <c r="O160" s="23"/>
    </row>
    <row r="161">
      <c r="A161" s="16">
        <f t="shared" si="1"/>
        <v>160</v>
      </c>
      <c r="B161" s="17">
        <v>45215.0</v>
      </c>
      <c r="C161" s="18" t="s">
        <v>92</v>
      </c>
      <c r="D161" s="24" t="s">
        <v>244</v>
      </c>
      <c r="H161" s="18" t="s">
        <v>27</v>
      </c>
      <c r="I161" s="18" t="s">
        <v>24</v>
      </c>
      <c r="J161" s="22"/>
      <c r="K161" s="24" t="s">
        <v>245</v>
      </c>
      <c r="L161" s="23"/>
      <c r="M161" s="23"/>
      <c r="N161" s="23"/>
      <c r="O161" s="23"/>
    </row>
    <row r="162">
      <c r="A162" s="16">
        <f t="shared" si="1"/>
        <v>161</v>
      </c>
      <c r="B162" s="17">
        <v>45215.0</v>
      </c>
      <c r="C162" s="18" t="s">
        <v>92</v>
      </c>
      <c r="D162" s="18" t="s">
        <v>246</v>
      </c>
      <c r="H162" s="18" t="s">
        <v>27</v>
      </c>
      <c r="I162" s="18" t="s">
        <v>65</v>
      </c>
      <c r="J162" s="22"/>
      <c r="K162" s="22"/>
      <c r="L162" s="23"/>
      <c r="M162" s="23"/>
      <c r="N162" s="23"/>
      <c r="O162" s="23"/>
    </row>
    <row r="163">
      <c r="A163" s="16">
        <f t="shared" si="1"/>
        <v>162</v>
      </c>
      <c r="B163" s="17">
        <v>45215.0</v>
      </c>
      <c r="C163" s="32" t="s">
        <v>110</v>
      </c>
      <c r="D163" s="24" t="s">
        <v>247</v>
      </c>
      <c r="H163" s="18" t="s">
        <v>27</v>
      </c>
      <c r="I163" s="18" t="s">
        <v>65</v>
      </c>
      <c r="J163" s="22"/>
      <c r="K163" s="22"/>
      <c r="L163" s="23"/>
      <c r="M163" s="23"/>
      <c r="N163" s="23"/>
      <c r="O163" s="23"/>
    </row>
    <row r="164">
      <c r="A164" s="16">
        <f t="shared" si="1"/>
        <v>163</v>
      </c>
      <c r="B164" s="17">
        <v>45215.0</v>
      </c>
      <c r="C164" s="32" t="s">
        <v>110</v>
      </c>
      <c r="D164" s="24" t="s">
        <v>248</v>
      </c>
      <c r="H164" s="18" t="s">
        <v>27</v>
      </c>
      <c r="I164" s="18" t="s">
        <v>65</v>
      </c>
      <c r="J164" s="22"/>
      <c r="K164" s="22"/>
      <c r="L164" s="23"/>
      <c r="M164" s="23"/>
      <c r="N164" s="23"/>
      <c r="O164" s="23"/>
    </row>
    <row r="165">
      <c r="A165" s="16">
        <f t="shared" si="1"/>
        <v>164</v>
      </c>
      <c r="B165" s="17">
        <v>45215.0</v>
      </c>
      <c r="C165" s="18" t="s">
        <v>92</v>
      </c>
      <c r="D165" s="18" t="s">
        <v>249</v>
      </c>
      <c r="H165" s="18" t="s">
        <v>71</v>
      </c>
      <c r="I165" s="18" t="s">
        <v>65</v>
      </c>
      <c r="J165" s="22"/>
      <c r="K165" s="22"/>
      <c r="L165" s="23"/>
      <c r="M165" s="23"/>
      <c r="N165" s="23"/>
      <c r="O165" s="23"/>
    </row>
    <row r="166">
      <c r="A166" s="16">
        <f t="shared" si="1"/>
        <v>165</v>
      </c>
      <c r="B166" s="17">
        <v>45215.0</v>
      </c>
      <c r="C166" s="18" t="s">
        <v>92</v>
      </c>
      <c r="D166" s="24" t="s">
        <v>250</v>
      </c>
      <c r="H166" s="18" t="s">
        <v>27</v>
      </c>
      <c r="I166" s="18" t="s">
        <v>65</v>
      </c>
      <c r="J166" s="22"/>
      <c r="K166" s="22"/>
      <c r="L166" s="23"/>
      <c r="M166" s="23"/>
      <c r="N166" s="23"/>
      <c r="O166" s="23"/>
    </row>
    <row r="167">
      <c r="A167" s="16">
        <f t="shared" si="1"/>
        <v>166</v>
      </c>
      <c r="B167" s="17">
        <v>45215.0</v>
      </c>
      <c r="C167" s="18" t="s">
        <v>92</v>
      </c>
      <c r="D167" s="24" t="s">
        <v>251</v>
      </c>
      <c r="H167" s="18" t="s">
        <v>27</v>
      </c>
      <c r="I167" s="18" t="s">
        <v>65</v>
      </c>
      <c r="J167" s="22"/>
      <c r="K167" s="24" t="s">
        <v>252</v>
      </c>
      <c r="L167" s="23"/>
      <c r="M167" s="23"/>
      <c r="N167" s="23"/>
      <c r="O167" s="23"/>
    </row>
    <row r="168">
      <c r="A168" s="16">
        <f t="shared" si="1"/>
        <v>167</v>
      </c>
      <c r="B168" s="17">
        <v>45215.0</v>
      </c>
      <c r="C168" s="18" t="s">
        <v>92</v>
      </c>
      <c r="D168" s="24" t="s">
        <v>253</v>
      </c>
      <c r="H168" s="18" t="s">
        <v>27</v>
      </c>
      <c r="I168" s="18" t="s">
        <v>65</v>
      </c>
      <c r="J168" s="22"/>
      <c r="K168" s="27" t="s">
        <v>252</v>
      </c>
      <c r="L168" s="18" t="s">
        <v>69</v>
      </c>
      <c r="M168" s="23"/>
      <c r="N168" s="23"/>
      <c r="O168" s="23"/>
    </row>
    <row r="169">
      <c r="A169" s="16">
        <f t="shared" si="1"/>
        <v>168</v>
      </c>
      <c r="B169" s="17">
        <v>45215.0</v>
      </c>
      <c r="C169" s="32" t="s">
        <v>110</v>
      </c>
      <c r="D169" s="24" t="s">
        <v>254</v>
      </c>
      <c r="H169" s="18" t="s">
        <v>27</v>
      </c>
      <c r="I169" s="18" t="s">
        <v>65</v>
      </c>
      <c r="J169" s="22"/>
      <c r="K169" s="18" t="s">
        <v>255</v>
      </c>
      <c r="L169" s="23"/>
      <c r="M169" s="23"/>
      <c r="N169" s="23"/>
      <c r="O169" s="23"/>
    </row>
    <row r="170">
      <c r="A170" s="16">
        <f t="shared" si="1"/>
        <v>169</v>
      </c>
      <c r="B170" s="17">
        <v>45217.0</v>
      </c>
      <c r="C170" s="18" t="s">
        <v>44</v>
      </c>
      <c r="D170" s="24" t="s">
        <v>256</v>
      </c>
      <c r="H170" s="18" t="s">
        <v>27</v>
      </c>
      <c r="I170" s="18" t="s">
        <v>65</v>
      </c>
      <c r="J170" s="22"/>
      <c r="K170" s="22"/>
      <c r="L170" s="23"/>
      <c r="M170" s="23"/>
      <c r="N170" s="23"/>
      <c r="O170" s="23"/>
    </row>
    <row r="171">
      <c r="A171" s="16">
        <f t="shared" si="1"/>
        <v>170</v>
      </c>
      <c r="B171" s="17">
        <v>45217.0</v>
      </c>
      <c r="C171" s="18" t="s">
        <v>44</v>
      </c>
      <c r="D171" s="24" t="s">
        <v>257</v>
      </c>
      <c r="H171" s="18" t="s">
        <v>27</v>
      </c>
      <c r="I171" s="18" t="s">
        <v>65</v>
      </c>
      <c r="J171" s="22"/>
      <c r="K171" s="22"/>
      <c r="L171" s="23"/>
      <c r="M171" s="23"/>
      <c r="N171" s="23"/>
      <c r="O171" s="23"/>
    </row>
    <row r="172">
      <c r="A172" s="16">
        <f t="shared" si="1"/>
        <v>171</v>
      </c>
      <c r="B172" s="26">
        <v>45222.0</v>
      </c>
      <c r="C172" s="18" t="s">
        <v>44</v>
      </c>
      <c r="D172" s="24" t="s">
        <v>258</v>
      </c>
      <c r="H172" s="18" t="s">
        <v>27</v>
      </c>
      <c r="I172" s="18" t="s">
        <v>65</v>
      </c>
      <c r="J172" s="22"/>
      <c r="K172" s="22"/>
      <c r="L172" s="23"/>
      <c r="M172" s="23"/>
      <c r="N172" s="23"/>
      <c r="O172" s="23"/>
    </row>
    <row r="173">
      <c r="A173" s="16">
        <f t="shared" si="1"/>
        <v>172</v>
      </c>
      <c r="B173" s="26">
        <v>45222.0</v>
      </c>
      <c r="C173" s="18" t="s">
        <v>92</v>
      </c>
      <c r="D173" s="24" t="s">
        <v>259</v>
      </c>
      <c r="H173" s="18" t="s">
        <v>27</v>
      </c>
      <c r="I173" s="18" t="s">
        <v>65</v>
      </c>
      <c r="J173" s="24" t="s">
        <v>25</v>
      </c>
      <c r="K173" s="22"/>
      <c r="L173" s="23"/>
      <c r="M173" s="23"/>
      <c r="N173" s="23"/>
      <c r="O173" s="23"/>
    </row>
    <row r="174">
      <c r="A174" s="16">
        <f t="shared" si="1"/>
        <v>173</v>
      </c>
      <c r="B174" s="26">
        <v>45222.0</v>
      </c>
      <c r="C174" s="18" t="s">
        <v>92</v>
      </c>
      <c r="D174" s="24" t="s">
        <v>260</v>
      </c>
      <c r="H174" s="18" t="s">
        <v>27</v>
      </c>
      <c r="I174" s="18" t="s">
        <v>65</v>
      </c>
      <c r="J174" s="22"/>
      <c r="K174" s="22"/>
      <c r="L174" s="23"/>
      <c r="M174" s="23"/>
      <c r="N174" s="23"/>
      <c r="O174" s="23"/>
    </row>
    <row r="175">
      <c r="A175" s="16">
        <f t="shared" si="1"/>
        <v>174</v>
      </c>
      <c r="B175" s="17">
        <v>45222.0</v>
      </c>
      <c r="C175" s="18" t="s">
        <v>44</v>
      </c>
      <c r="D175" s="24" t="s">
        <v>261</v>
      </c>
      <c r="H175" s="18" t="s">
        <v>27</v>
      </c>
      <c r="I175" s="18" t="s">
        <v>65</v>
      </c>
      <c r="J175" s="24" t="s">
        <v>262</v>
      </c>
      <c r="K175" s="22"/>
      <c r="L175" s="23"/>
      <c r="M175" s="23"/>
      <c r="N175" s="23"/>
      <c r="O175" s="23"/>
    </row>
    <row r="176">
      <c r="A176" s="16">
        <f t="shared" si="1"/>
        <v>175</v>
      </c>
      <c r="B176" s="17">
        <v>45222.0</v>
      </c>
      <c r="C176" s="18" t="s">
        <v>44</v>
      </c>
      <c r="D176" s="24" t="s">
        <v>263</v>
      </c>
      <c r="H176" s="18" t="s">
        <v>27</v>
      </c>
      <c r="I176" s="18" t="s">
        <v>65</v>
      </c>
      <c r="J176" s="24" t="s">
        <v>262</v>
      </c>
      <c r="K176" s="22"/>
      <c r="L176" s="23"/>
      <c r="M176" s="23"/>
      <c r="N176" s="23"/>
      <c r="O176" s="23"/>
    </row>
    <row r="177">
      <c r="A177" s="16">
        <f t="shared" si="1"/>
        <v>176</v>
      </c>
      <c r="B177" s="17">
        <v>45222.0</v>
      </c>
      <c r="C177" s="18" t="s">
        <v>44</v>
      </c>
      <c r="D177" s="24" t="s">
        <v>264</v>
      </c>
      <c r="H177" s="18" t="s">
        <v>27</v>
      </c>
      <c r="I177" s="18" t="s">
        <v>65</v>
      </c>
      <c r="J177" s="22"/>
      <c r="K177" s="22"/>
      <c r="L177" s="23"/>
      <c r="M177" s="23"/>
      <c r="N177" s="23"/>
      <c r="O177" s="23"/>
    </row>
    <row r="178">
      <c r="A178" s="16">
        <f t="shared" si="1"/>
        <v>177</v>
      </c>
      <c r="B178" s="17">
        <v>45222.0</v>
      </c>
      <c r="C178" s="18" t="s">
        <v>44</v>
      </c>
      <c r="D178" s="24" t="s">
        <v>265</v>
      </c>
      <c r="H178" s="18" t="s">
        <v>27</v>
      </c>
      <c r="I178" s="18" t="s">
        <v>65</v>
      </c>
      <c r="J178" s="24" t="s">
        <v>78</v>
      </c>
      <c r="K178" s="22"/>
      <c r="L178" s="23"/>
      <c r="M178" s="23"/>
      <c r="N178" s="23"/>
      <c r="O178" s="23"/>
    </row>
    <row r="179">
      <c r="A179" s="16">
        <f t="shared" si="1"/>
        <v>178</v>
      </c>
      <c r="B179" s="17">
        <v>45222.0</v>
      </c>
      <c r="C179" s="18" t="s">
        <v>139</v>
      </c>
      <c r="D179" s="33" t="s">
        <v>266</v>
      </c>
      <c r="H179" s="18" t="s">
        <v>27</v>
      </c>
      <c r="I179" s="18" t="s">
        <v>65</v>
      </c>
      <c r="J179" s="24" t="s">
        <v>62</v>
      </c>
      <c r="K179" s="22"/>
      <c r="L179" s="23"/>
      <c r="M179" s="23"/>
      <c r="N179" s="23"/>
      <c r="O179" s="23"/>
    </row>
    <row r="180">
      <c r="A180" s="16">
        <f t="shared" si="1"/>
        <v>179</v>
      </c>
      <c r="B180" s="17">
        <v>45222.0</v>
      </c>
      <c r="C180" s="18" t="s">
        <v>139</v>
      </c>
      <c r="D180" s="24" t="s">
        <v>267</v>
      </c>
      <c r="H180" s="18" t="s">
        <v>71</v>
      </c>
      <c r="I180" s="18" t="s">
        <v>65</v>
      </c>
      <c r="J180" s="24" t="s">
        <v>66</v>
      </c>
      <c r="K180" s="22"/>
      <c r="L180" s="23"/>
      <c r="M180" s="23"/>
      <c r="N180" s="23"/>
      <c r="O180" s="23"/>
    </row>
    <row r="181">
      <c r="A181" s="16">
        <f t="shared" si="1"/>
        <v>180</v>
      </c>
      <c r="B181" s="17">
        <v>45224.0</v>
      </c>
      <c r="C181" s="32" t="s">
        <v>110</v>
      </c>
      <c r="D181" s="24" t="s">
        <v>268</v>
      </c>
      <c r="H181" s="18" t="s">
        <v>27</v>
      </c>
      <c r="I181" s="18" t="s">
        <v>65</v>
      </c>
      <c r="J181" s="24" t="s">
        <v>62</v>
      </c>
      <c r="K181" s="22"/>
      <c r="L181" s="23"/>
      <c r="M181" s="23"/>
      <c r="N181" s="23"/>
      <c r="O181" s="23"/>
    </row>
    <row r="182">
      <c r="A182" s="16">
        <f t="shared" si="1"/>
        <v>181</v>
      </c>
      <c r="B182" s="17">
        <v>45224.0</v>
      </c>
      <c r="C182" s="32" t="s">
        <v>110</v>
      </c>
      <c r="D182" s="24" t="s">
        <v>269</v>
      </c>
      <c r="H182" s="18" t="s">
        <v>27</v>
      </c>
      <c r="I182" s="18" t="s">
        <v>65</v>
      </c>
      <c r="J182" s="24" t="s">
        <v>62</v>
      </c>
      <c r="K182" s="22"/>
      <c r="L182" s="23"/>
      <c r="M182" s="23"/>
      <c r="N182" s="23"/>
      <c r="O182" s="23"/>
    </row>
    <row r="183">
      <c r="A183" s="16">
        <f t="shared" si="1"/>
        <v>182</v>
      </c>
      <c r="B183" s="17">
        <v>45224.0</v>
      </c>
      <c r="C183" s="18" t="s">
        <v>92</v>
      </c>
      <c r="D183" s="24" t="s">
        <v>270</v>
      </c>
      <c r="H183" s="18" t="s">
        <v>23</v>
      </c>
      <c r="J183" s="22"/>
      <c r="K183" s="24" t="s">
        <v>271</v>
      </c>
      <c r="L183" s="23"/>
      <c r="M183" s="23"/>
      <c r="N183" s="23"/>
      <c r="O183" s="23"/>
    </row>
    <row r="184">
      <c r="A184" s="16">
        <f t="shared" si="1"/>
        <v>183</v>
      </c>
      <c r="B184" s="38">
        <v>45229.0</v>
      </c>
      <c r="C184" s="32" t="s">
        <v>110</v>
      </c>
      <c r="D184" s="33" t="s">
        <v>272</v>
      </c>
      <c r="H184" s="18" t="s">
        <v>27</v>
      </c>
      <c r="I184" s="18" t="s">
        <v>65</v>
      </c>
      <c r="J184" s="22"/>
      <c r="K184" s="24" t="s">
        <v>273</v>
      </c>
      <c r="L184" s="23"/>
      <c r="M184" s="23"/>
      <c r="N184" s="23"/>
      <c r="O184" s="23"/>
    </row>
    <row r="185">
      <c r="A185" s="16">
        <f t="shared" si="1"/>
        <v>184</v>
      </c>
      <c r="B185" s="38">
        <v>45229.0</v>
      </c>
      <c r="C185" s="32" t="s">
        <v>110</v>
      </c>
      <c r="D185" s="24" t="s">
        <v>274</v>
      </c>
      <c r="H185" s="18" t="s">
        <v>27</v>
      </c>
      <c r="I185" s="18" t="s">
        <v>65</v>
      </c>
      <c r="J185" s="22"/>
      <c r="K185" s="22"/>
      <c r="L185" s="23"/>
      <c r="M185" s="23"/>
      <c r="N185" s="23"/>
      <c r="O185" s="23"/>
    </row>
    <row r="186">
      <c r="A186" s="16">
        <f t="shared" si="1"/>
        <v>185</v>
      </c>
      <c r="B186" s="17">
        <v>45229.0</v>
      </c>
      <c r="C186" s="18" t="s">
        <v>44</v>
      </c>
      <c r="D186" s="24" t="s">
        <v>275</v>
      </c>
      <c r="H186" s="18" t="s">
        <v>27</v>
      </c>
      <c r="I186" s="18" t="s">
        <v>65</v>
      </c>
      <c r="J186" s="22"/>
      <c r="K186" s="22"/>
      <c r="L186" s="23"/>
      <c r="M186" s="23"/>
      <c r="N186" s="23"/>
      <c r="O186" s="23"/>
    </row>
    <row r="187">
      <c r="A187" s="16">
        <f t="shared" si="1"/>
        <v>186</v>
      </c>
      <c r="B187" s="17">
        <v>45232.0</v>
      </c>
      <c r="C187" s="18" t="s">
        <v>92</v>
      </c>
      <c r="D187" s="24" t="s">
        <v>276</v>
      </c>
      <c r="H187" s="18" t="s">
        <v>23</v>
      </c>
      <c r="J187" s="22"/>
      <c r="K187" s="24" t="s">
        <v>277</v>
      </c>
      <c r="L187" s="23"/>
      <c r="M187" s="23"/>
      <c r="N187" s="23"/>
      <c r="O187" s="23"/>
    </row>
    <row r="188">
      <c r="A188" s="16">
        <f t="shared" si="1"/>
        <v>187</v>
      </c>
      <c r="B188" s="17">
        <v>45236.0</v>
      </c>
      <c r="C188" s="32" t="s">
        <v>110</v>
      </c>
      <c r="D188" s="24" t="s">
        <v>278</v>
      </c>
      <c r="H188" s="18" t="s">
        <v>27</v>
      </c>
      <c r="I188" s="18" t="s">
        <v>65</v>
      </c>
      <c r="J188" s="22"/>
      <c r="K188" s="22"/>
      <c r="L188" s="23"/>
      <c r="M188" s="23"/>
      <c r="N188" s="23"/>
      <c r="O188" s="23"/>
    </row>
    <row r="189">
      <c r="A189" s="16">
        <f t="shared" si="1"/>
        <v>188</v>
      </c>
      <c r="B189" s="17">
        <v>45236.0</v>
      </c>
      <c r="C189" s="18" t="s">
        <v>92</v>
      </c>
      <c r="D189" s="24" t="s">
        <v>279</v>
      </c>
      <c r="H189" s="18" t="s">
        <v>27</v>
      </c>
      <c r="I189" s="18" t="s">
        <v>65</v>
      </c>
      <c r="J189" s="22"/>
      <c r="K189" s="22"/>
      <c r="L189" s="23"/>
      <c r="M189" s="23"/>
      <c r="N189" s="23"/>
      <c r="O189" s="23"/>
    </row>
    <row r="190">
      <c r="A190" s="16">
        <f t="shared" si="1"/>
        <v>189</v>
      </c>
      <c r="B190" s="17">
        <v>45236.0</v>
      </c>
      <c r="C190" s="32" t="s">
        <v>110</v>
      </c>
      <c r="D190" s="24" t="s">
        <v>280</v>
      </c>
      <c r="H190" s="18" t="s">
        <v>27</v>
      </c>
      <c r="I190" s="18" t="s">
        <v>65</v>
      </c>
      <c r="J190" s="22"/>
      <c r="K190" s="24" t="s">
        <v>281</v>
      </c>
      <c r="L190" s="23"/>
      <c r="M190" s="23"/>
      <c r="N190" s="23"/>
      <c r="O190" s="23"/>
    </row>
    <row r="191">
      <c r="A191" s="16">
        <f t="shared" si="1"/>
        <v>190</v>
      </c>
      <c r="B191" s="17">
        <v>45236.0</v>
      </c>
      <c r="C191" s="32" t="s">
        <v>110</v>
      </c>
      <c r="D191" s="24" t="s">
        <v>282</v>
      </c>
      <c r="G191" s="18" t="s">
        <v>283</v>
      </c>
      <c r="H191" s="18" t="s">
        <v>27</v>
      </c>
      <c r="I191" s="18" t="s">
        <v>65</v>
      </c>
      <c r="J191" s="22"/>
      <c r="K191" s="24" t="s">
        <v>281</v>
      </c>
      <c r="L191" s="23"/>
      <c r="M191" s="23"/>
      <c r="N191" s="23"/>
      <c r="O191" s="23"/>
    </row>
    <row r="192">
      <c r="A192" s="16">
        <f t="shared" si="1"/>
        <v>191</v>
      </c>
      <c r="B192" s="17">
        <v>45236.0</v>
      </c>
      <c r="C192" s="32" t="s">
        <v>110</v>
      </c>
      <c r="D192" s="24" t="s">
        <v>284</v>
      </c>
      <c r="H192" s="18" t="s">
        <v>27</v>
      </c>
      <c r="I192" s="18" t="s">
        <v>65</v>
      </c>
      <c r="J192" s="22"/>
      <c r="K192" s="22"/>
      <c r="L192" s="23"/>
      <c r="M192" s="23"/>
      <c r="N192" s="23"/>
      <c r="O192" s="23"/>
    </row>
    <row r="193">
      <c r="A193" s="16">
        <f t="shared" si="1"/>
        <v>192</v>
      </c>
      <c r="B193" s="17">
        <v>45236.0</v>
      </c>
      <c r="C193" s="32" t="s">
        <v>110</v>
      </c>
      <c r="D193" s="24" t="s">
        <v>285</v>
      </c>
      <c r="H193" s="18" t="s">
        <v>27</v>
      </c>
      <c r="J193" s="22"/>
      <c r="K193" s="18" t="s">
        <v>286</v>
      </c>
      <c r="L193" s="23"/>
      <c r="M193" s="23"/>
      <c r="N193" s="23"/>
      <c r="O193" s="23"/>
    </row>
    <row r="194">
      <c r="A194" s="16">
        <f t="shared" si="1"/>
        <v>193</v>
      </c>
      <c r="B194" s="17">
        <v>45236.0</v>
      </c>
      <c r="C194" s="32" t="s">
        <v>110</v>
      </c>
      <c r="D194" s="24" t="s">
        <v>287</v>
      </c>
      <c r="H194" s="18" t="s">
        <v>27</v>
      </c>
      <c r="I194" s="18" t="s">
        <v>65</v>
      </c>
      <c r="J194" s="22"/>
      <c r="K194" s="22"/>
      <c r="L194" s="23"/>
      <c r="M194" s="23"/>
      <c r="N194" s="23"/>
      <c r="O194" s="23"/>
    </row>
    <row r="195">
      <c r="A195" s="16">
        <f t="shared" si="1"/>
        <v>194</v>
      </c>
      <c r="B195" s="17">
        <v>45236.0</v>
      </c>
      <c r="C195" s="32" t="s">
        <v>110</v>
      </c>
      <c r="D195" s="24" t="s">
        <v>288</v>
      </c>
      <c r="H195" s="18" t="s">
        <v>27</v>
      </c>
      <c r="I195" s="18" t="s">
        <v>65</v>
      </c>
      <c r="J195" s="22"/>
      <c r="K195" s="22"/>
      <c r="L195" s="23"/>
      <c r="M195" s="23"/>
      <c r="N195" s="23"/>
      <c r="O195" s="23"/>
    </row>
    <row r="196">
      <c r="A196" s="16">
        <f t="shared" si="1"/>
        <v>195</v>
      </c>
      <c r="B196" s="17">
        <v>45236.0</v>
      </c>
      <c r="C196" s="32" t="s">
        <v>110</v>
      </c>
      <c r="D196" s="24" t="s">
        <v>289</v>
      </c>
      <c r="H196" s="18" t="s">
        <v>27</v>
      </c>
      <c r="I196" s="18" t="s">
        <v>65</v>
      </c>
      <c r="J196" s="22"/>
      <c r="K196" s="22"/>
      <c r="L196" s="23"/>
      <c r="M196" s="23"/>
      <c r="N196" s="23"/>
      <c r="O196" s="23"/>
    </row>
    <row r="197">
      <c r="A197" s="16">
        <f t="shared" si="1"/>
        <v>196</v>
      </c>
      <c r="B197" s="17">
        <v>45236.0</v>
      </c>
      <c r="C197" s="32" t="s">
        <v>110</v>
      </c>
      <c r="D197" s="24" t="s">
        <v>290</v>
      </c>
      <c r="H197" s="18" t="s">
        <v>27</v>
      </c>
      <c r="I197" s="18" t="s">
        <v>65</v>
      </c>
      <c r="J197" s="22"/>
      <c r="K197" s="22"/>
      <c r="L197" s="23"/>
      <c r="M197" s="23"/>
      <c r="N197" s="23"/>
      <c r="O197" s="23"/>
    </row>
    <row r="198">
      <c r="A198" s="16">
        <f t="shared" si="1"/>
        <v>197</v>
      </c>
      <c r="B198" s="17">
        <v>45236.0</v>
      </c>
      <c r="C198" s="18" t="s">
        <v>44</v>
      </c>
      <c r="D198" s="24" t="s">
        <v>291</v>
      </c>
      <c r="G198" s="18" t="s">
        <v>292</v>
      </c>
      <c r="H198" s="18" t="s">
        <v>27</v>
      </c>
      <c r="I198" s="18" t="s">
        <v>65</v>
      </c>
      <c r="J198" s="22"/>
      <c r="K198" s="22"/>
      <c r="L198" s="23"/>
      <c r="M198" s="23"/>
      <c r="N198" s="23"/>
      <c r="O198" s="23"/>
    </row>
    <row r="199">
      <c r="A199" s="16">
        <f t="shared" si="1"/>
        <v>198</v>
      </c>
      <c r="B199" s="17">
        <v>45236.0</v>
      </c>
      <c r="C199" s="18" t="s">
        <v>87</v>
      </c>
      <c r="D199" s="24" t="s">
        <v>293</v>
      </c>
      <c r="H199" s="18" t="s">
        <v>27</v>
      </c>
      <c r="I199" s="18" t="s">
        <v>65</v>
      </c>
      <c r="J199" s="22"/>
      <c r="K199" s="22"/>
      <c r="L199" s="23"/>
      <c r="M199" s="23"/>
      <c r="N199" s="23"/>
      <c r="O199" s="23"/>
    </row>
    <row r="200">
      <c r="A200" s="16">
        <f t="shared" si="1"/>
        <v>199</v>
      </c>
      <c r="B200" s="17">
        <v>45236.0</v>
      </c>
      <c r="C200" s="18" t="s">
        <v>87</v>
      </c>
      <c r="D200" s="24" t="s">
        <v>294</v>
      </c>
      <c r="H200" s="18" t="s">
        <v>71</v>
      </c>
      <c r="I200" s="18" t="s">
        <v>65</v>
      </c>
      <c r="J200" s="22"/>
      <c r="K200" s="22"/>
      <c r="L200" s="23"/>
      <c r="M200" s="23"/>
      <c r="N200" s="23"/>
      <c r="O200" s="17">
        <v>45317.0</v>
      </c>
    </row>
    <row r="201">
      <c r="A201" s="16">
        <f t="shared" si="1"/>
        <v>200</v>
      </c>
      <c r="B201" s="17">
        <v>45236.0</v>
      </c>
      <c r="C201" s="18" t="s">
        <v>87</v>
      </c>
      <c r="D201" s="24" t="s">
        <v>295</v>
      </c>
      <c r="H201" s="18" t="s">
        <v>71</v>
      </c>
      <c r="I201" s="18" t="s">
        <v>65</v>
      </c>
      <c r="J201" s="22"/>
      <c r="K201" s="22"/>
      <c r="L201" s="23"/>
      <c r="M201" s="23"/>
      <c r="N201" s="23"/>
      <c r="O201" s="23"/>
    </row>
    <row r="202">
      <c r="A202" s="16">
        <f t="shared" si="1"/>
        <v>201</v>
      </c>
      <c r="B202" s="17">
        <v>45243.0</v>
      </c>
      <c r="C202" s="32" t="s">
        <v>110</v>
      </c>
      <c r="D202" s="24" t="s">
        <v>296</v>
      </c>
      <c r="H202" s="18" t="s">
        <v>27</v>
      </c>
      <c r="I202" s="18" t="s">
        <v>65</v>
      </c>
      <c r="J202" s="22"/>
      <c r="K202" s="22"/>
      <c r="L202" s="23"/>
      <c r="M202" s="23"/>
      <c r="N202" s="23"/>
      <c r="O202" s="23"/>
    </row>
    <row r="203">
      <c r="A203" s="16">
        <f t="shared" si="1"/>
        <v>202</v>
      </c>
      <c r="B203" s="17">
        <v>45257.0</v>
      </c>
      <c r="C203" s="32" t="s">
        <v>110</v>
      </c>
      <c r="D203" s="24" t="s">
        <v>297</v>
      </c>
      <c r="H203" s="18" t="s">
        <v>298</v>
      </c>
      <c r="I203" s="18" t="s">
        <v>65</v>
      </c>
      <c r="J203" s="22"/>
      <c r="K203" s="22"/>
      <c r="L203" s="23"/>
      <c r="M203" s="23"/>
      <c r="N203" s="23"/>
      <c r="O203" s="23"/>
    </row>
    <row r="204">
      <c r="A204" s="16">
        <f t="shared" si="1"/>
        <v>203</v>
      </c>
      <c r="B204" s="17">
        <v>45257.0</v>
      </c>
      <c r="C204" s="32" t="s">
        <v>110</v>
      </c>
      <c r="D204" s="24" t="s">
        <v>299</v>
      </c>
      <c r="H204" s="40" t="s">
        <v>31</v>
      </c>
      <c r="I204" s="18" t="s">
        <v>24</v>
      </c>
      <c r="J204" s="22"/>
      <c r="K204" s="22"/>
      <c r="L204" s="23"/>
      <c r="M204" s="23"/>
      <c r="N204" s="23"/>
      <c r="O204" s="23"/>
    </row>
    <row r="205">
      <c r="A205" s="16">
        <f t="shared" si="1"/>
        <v>204</v>
      </c>
      <c r="B205" s="17">
        <v>45257.0</v>
      </c>
      <c r="C205" s="32" t="s">
        <v>110</v>
      </c>
      <c r="D205" s="24" t="s">
        <v>300</v>
      </c>
      <c r="H205" s="18" t="s">
        <v>46</v>
      </c>
      <c r="J205" s="22"/>
      <c r="K205" s="22"/>
      <c r="L205" s="23"/>
      <c r="M205" s="23"/>
      <c r="N205" s="23"/>
      <c r="O205" s="23"/>
    </row>
    <row r="206">
      <c r="A206" s="16">
        <f t="shared" si="1"/>
        <v>205</v>
      </c>
      <c r="B206" s="17">
        <v>45264.0</v>
      </c>
      <c r="C206" s="18" t="s">
        <v>20</v>
      </c>
      <c r="D206" s="24" t="s">
        <v>301</v>
      </c>
      <c r="H206" s="18" t="s">
        <v>46</v>
      </c>
      <c r="J206" s="22"/>
      <c r="K206" s="22"/>
      <c r="L206" s="23"/>
      <c r="M206" s="23"/>
      <c r="N206" s="23"/>
      <c r="O206" s="23"/>
    </row>
    <row r="207">
      <c r="A207" s="16">
        <f t="shared" si="1"/>
        <v>206</v>
      </c>
      <c r="B207" s="17">
        <v>45264.0</v>
      </c>
      <c r="C207" s="32" t="s">
        <v>110</v>
      </c>
      <c r="D207" s="24" t="s">
        <v>302</v>
      </c>
      <c r="H207" s="18" t="s">
        <v>46</v>
      </c>
      <c r="J207" s="22"/>
      <c r="K207" s="22"/>
      <c r="L207" s="23"/>
      <c r="M207" s="23"/>
      <c r="N207" s="23"/>
      <c r="O207" s="23"/>
    </row>
    <row r="208">
      <c r="A208" s="16">
        <f t="shared" si="1"/>
        <v>207</v>
      </c>
      <c r="B208" s="17">
        <v>45266.0</v>
      </c>
      <c r="C208" s="18" t="s">
        <v>44</v>
      </c>
      <c r="D208" s="24" t="s">
        <v>303</v>
      </c>
      <c r="H208" s="18" t="s">
        <v>23</v>
      </c>
      <c r="J208" s="22"/>
      <c r="K208" s="24" t="s">
        <v>304</v>
      </c>
      <c r="L208" s="23"/>
      <c r="M208" s="23"/>
      <c r="N208" s="23"/>
      <c r="O208" s="23"/>
    </row>
    <row r="209">
      <c r="A209" s="16">
        <f t="shared" si="1"/>
        <v>208</v>
      </c>
      <c r="B209" s="17">
        <v>45271.0</v>
      </c>
      <c r="C209" s="32" t="s">
        <v>110</v>
      </c>
      <c r="D209" s="24" t="s">
        <v>305</v>
      </c>
      <c r="H209" s="18" t="s">
        <v>27</v>
      </c>
      <c r="I209" s="18" t="s">
        <v>65</v>
      </c>
      <c r="J209" s="22"/>
      <c r="K209" s="22"/>
      <c r="L209" s="23"/>
      <c r="M209" s="23"/>
      <c r="N209" s="23"/>
      <c r="O209" s="23"/>
    </row>
    <row r="210">
      <c r="A210" s="16">
        <f t="shared" si="1"/>
        <v>209</v>
      </c>
      <c r="B210" s="17">
        <v>45271.0</v>
      </c>
      <c r="C210" s="32" t="s">
        <v>110</v>
      </c>
      <c r="D210" s="24" t="s">
        <v>306</v>
      </c>
      <c r="H210" s="18" t="s">
        <v>46</v>
      </c>
      <c r="I210" s="18" t="s">
        <v>65</v>
      </c>
      <c r="J210" s="22"/>
      <c r="K210" s="22"/>
      <c r="L210" s="23"/>
      <c r="M210" s="23"/>
      <c r="N210" s="23"/>
      <c r="O210" s="23"/>
    </row>
    <row r="211">
      <c r="A211" s="16">
        <f t="shared" si="1"/>
        <v>210</v>
      </c>
      <c r="B211" s="17">
        <v>45271.0</v>
      </c>
      <c r="C211" s="18" t="s">
        <v>44</v>
      </c>
      <c r="D211" s="24" t="s">
        <v>307</v>
      </c>
      <c r="H211" s="18" t="s">
        <v>46</v>
      </c>
      <c r="J211" s="22"/>
      <c r="K211" s="22"/>
      <c r="L211" s="23"/>
      <c r="M211" s="23"/>
      <c r="N211" s="23"/>
      <c r="O211" s="23"/>
    </row>
    <row r="212">
      <c r="A212" s="16">
        <f t="shared" si="1"/>
        <v>211</v>
      </c>
      <c r="B212" s="17">
        <v>45271.0</v>
      </c>
      <c r="C212" s="18" t="s">
        <v>44</v>
      </c>
      <c r="D212" s="24" t="s">
        <v>308</v>
      </c>
      <c r="H212" s="18" t="s">
        <v>27</v>
      </c>
      <c r="J212" s="22"/>
      <c r="K212" s="24" t="s">
        <v>309</v>
      </c>
      <c r="L212" s="23"/>
      <c r="M212" s="23"/>
      <c r="N212" s="23"/>
      <c r="O212" s="17">
        <v>45317.0</v>
      </c>
    </row>
    <row r="213">
      <c r="A213" s="16">
        <f t="shared" si="1"/>
        <v>212</v>
      </c>
      <c r="B213" s="17">
        <v>45271.0</v>
      </c>
      <c r="C213" s="18" t="s">
        <v>44</v>
      </c>
      <c r="D213" s="24" t="s">
        <v>310</v>
      </c>
      <c r="H213" s="18" t="s">
        <v>46</v>
      </c>
      <c r="J213" s="22"/>
      <c r="K213" s="22"/>
      <c r="L213" s="23"/>
      <c r="M213" s="23"/>
      <c r="N213" s="23"/>
      <c r="O213" s="23"/>
    </row>
    <row r="214">
      <c r="A214" s="16">
        <f t="shared" si="1"/>
        <v>213</v>
      </c>
      <c r="B214" s="17">
        <v>45271.0</v>
      </c>
      <c r="C214" s="32" t="s">
        <v>110</v>
      </c>
      <c r="D214" s="24" t="s">
        <v>311</v>
      </c>
      <c r="H214" s="18" t="s">
        <v>27</v>
      </c>
      <c r="I214" s="18" t="s">
        <v>65</v>
      </c>
      <c r="J214" s="22"/>
      <c r="K214" s="22"/>
      <c r="L214" s="23"/>
      <c r="M214" s="23"/>
      <c r="N214" s="23"/>
      <c r="O214" s="23"/>
    </row>
    <row r="215">
      <c r="A215" s="16">
        <f t="shared" si="1"/>
        <v>214</v>
      </c>
      <c r="B215" s="41">
        <v>45271.0</v>
      </c>
      <c r="C215" s="18" t="s">
        <v>312</v>
      </c>
      <c r="D215" s="42" t="s">
        <v>313</v>
      </c>
      <c r="G215" s="43"/>
      <c r="H215" s="18" t="s">
        <v>46</v>
      </c>
      <c r="I215" s="16"/>
      <c r="J215" s="22"/>
      <c r="K215" s="22"/>
      <c r="L215" s="23"/>
      <c r="M215" s="23"/>
      <c r="N215" s="23"/>
      <c r="O215" s="23"/>
    </row>
    <row r="216">
      <c r="A216" s="16">
        <f t="shared" si="1"/>
        <v>215</v>
      </c>
      <c r="B216" s="17">
        <v>45272.0</v>
      </c>
      <c r="C216" s="18" t="s">
        <v>44</v>
      </c>
      <c r="D216" s="24" t="s">
        <v>314</v>
      </c>
      <c r="G216" s="43"/>
      <c r="H216" s="18" t="s">
        <v>27</v>
      </c>
      <c r="I216" s="18" t="s">
        <v>65</v>
      </c>
      <c r="J216" s="24" t="s">
        <v>62</v>
      </c>
      <c r="K216" s="22"/>
      <c r="L216" s="23"/>
      <c r="M216" s="23"/>
      <c r="N216" s="23"/>
      <c r="O216" s="23"/>
    </row>
    <row r="217">
      <c r="A217" s="16">
        <f t="shared" si="1"/>
        <v>216</v>
      </c>
      <c r="B217" s="17">
        <v>45274.0</v>
      </c>
      <c r="C217" s="32" t="s">
        <v>110</v>
      </c>
      <c r="D217" s="24" t="s">
        <v>315</v>
      </c>
      <c r="H217" s="18" t="s">
        <v>27</v>
      </c>
      <c r="I217" s="18" t="s">
        <v>65</v>
      </c>
      <c r="J217" s="22"/>
      <c r="K217" s="22"/>
      <c r="L217" s="23"/>
      <c r="M217" s="23"/>
      <c r="N217" s="23"/>
      <c r="O217" s="23"/>
    </row>
    <row r="218">
      <c r="A218" s="16">
        <f t="shared" si="1"/>
        <v>217</v>
      </c>
      <c r="B218" s="17">
        <v>45274.0</v>
      </c>
      <c r="C218" s="18" t="s">
        <v>44</v>
      </c>
      <c r="D218" s="24" t="s">
        <v>316</v>
      </c>
      <c r="G218" s="16"/>
      <c r="H218" s="18" t="s">
        <v>27</v>
      </c>
      <c r="I218" s="18" t="s">
        <v>24</v>
      </c>
      <c r="J218" s="24" t="s">
        <v>317</v>
      </c>
      <c r="K218" s="22"/>
      <c r="L218" s="23"/>
      <c r="M218" s="23"/>
      <c r="N218" s="23"/>
      <c r="O218" s="23"/>
    </row>
    <row r="219">
      <c r="A219" s="16">
        <f t="shared" si="1"/>
        <v>218</v>
      </c>
      <c r="B219" s="17">
        <v>45274.0</v>
      </c>
      <c r="C219" s="18" t="s">
        <v>92</v>
      </c>
      <c r="D219" s="24" t="s">
        <v>318</v>
      </c>
      <c r="H219" s="18" t="s">
        <v>27</v>
      </c>
      <c r="J219" s="22"/>
      <c r="K219" s="22"/>
      <c r="L219" s="23"/>
      <c r="M219" s="23"/>
      <c r="N219" s="23"/>
      <c r="O219" s="23"/>
    </row>
    <row r="220">
      <c r="A220" s="16">
        <f t="shared" si="1"/>
        <v>219</v>
      </c>
      <c r="B220" s="17">
        <v>45274.0</v>
      </c>
      <c r="C220" s="18" t="s">
        <v>44</v>
      </c>
      <c r="D220" s="24" t="s">
        <v>319</v>
      </c>
      <c r="G220" s="18" t="s">
        <v>320</v>
      </c>
      <c r="H220" s="18" t="s">
        <v>27</v>
      </c>
      <c r="I220" s="18" t="s">
        <v>65</v>
      </c>
      <c r="J220" s="22"/>
      <c r="K220" s="22"/>
      <c r="L220" s="23"/>
      <c r="M220" s="23"/>
      <c r="N220" s="23"/>
      <c r="O220" s="23"/>
    </row>
    <row r="221">
      <c r="A221" s="16">
        <f t="shared" si="1"/>
        <v>220</v>
      </c>
      <c r="B221" s="17">
        <v>45278.0</v>
      </c>
      <c r="C221" s="18" t="s">
        <v>44</v>
      </c>
      <c r="D221" s="24" t="s">
        <v>321</v>
      </c>
      <c r="G221" s="18" t="s">
        <v>322</v>
      </c>
      <c r="H221" s="18" t="s">
        <v>27</v>
      </c>
      <c r="I221" s="18" t="s">
        <v>65</v>
      </c>
      <c r="J221" s="24" t="s">
        <v>323</v>
      </c>
      <c r="K221" s="22"/>
      <c r="L221" s="23"/>
      <c r="M221" s="23"/>
      <c r="N221" s="23"/>
      <c r="O221" s="26">
        <v>45317.0</v>
      </c>
    </row>
    <row r="222">
      <c r="A222" s="16">
        <f t="shared" si="1"/>
        <v>221</v>
      </c>
      <c r="B222" s="17">
        <v>45278.0</v>
      </c>
      <c r="C222" s="18" t="s">
        <v>92</v>
      </c>
      <c r="D222" s="24" t="s">
        <v>324</v>
      </c>
      <c r="G222" s="18" t="s">
        <v>325</v>
      </c>
      <c r="H222" s="18" t="s">
        <v>31</v>
      </c>
      <c r="I222" s="18" t="s">
        <v>65</v>
      </c>
      <c r="J222" s="24" t="s">
        <v>323</v>
      </c>
      <c r="K222" s="22"/>
      <c r="L222" s="23"/>
      <c r="M222" s="23"/>
      <c r="N222" s="23"/>
      <c r="O222" s="26">
        <v>45317.0</v>
      </c>
    </row>
    <row r="223">
      <c r="A223" s="16">
        <f t="shared" si="1"/>
        <v>222</v>
      </c>
      <c r="B223" s="17">
        <v>45278.0</v>
      </c>
      <c r="C223" s="18" t="s">
        <v>92</v>
      </c>
      <c r="D223" s="24" t="s">
        <v>326</v>
      </c>
      <c r="H223" s="18" t="s">
        <v>31</v>
      </c>
      <c r="I223" s="18" t="s">
        <v>65</v>
      </c>
      <c r="J223" s="24" t="s">
        <v>135</v>
      </c>
      <c r="K223" s="22"/>
      <c r="L223" s="23"/>
      <c r="M223" s="23"/>
      <c r="N223" s="23"/>
      <c r="O223" s="23"/>
    </row>
    <row r="224">
      <c r="A224" s="16">
        <f t="shared" si="1"/>
        <v>223</v>
      </c>
      <c r="B224" s="17">
        <v>45279.0</v>
      </c>
      <c r="C224" s="18" t="s">
        <v>44</v>
      </c>
      <c r="D224" s="24" t="s">
        <v>327</v>
      </c>
      <c r="H224" s="40" t="s">
        <v>71</v>
      </c>
      <c r="I224" s="18" t="s">
        <v>65</v>
      </c>
      <c r="J224" s="24" t="s">
        <v>66</v>
      </c>
      <c r="K224" s="22"/>
      <c r="L224" s="23"/>
      <c r="M224" s="23"/>
      <c r="N224" s="23"/>
      <c r="O224" s="23"/>
    </row>
    <row r="225">
      <c r="A225" s="16">
        <f t="shared" si="1"/>
        <v>224</v>
      </c>
      <c r="B225" s="17">
        <v>45279.0</v>
      </c>
      <c r="C225" s="32" t="s">
        <v>110</v>
      </c>
      <c r="D225" s="24" t="s">
        <v>328</v>
      </c>
      <c r="H225" s="18" t="s">
        <v>27</v>
      </c>
      <c r="I225" s="18" t="s">
        <v>65</v>
      </c>
      <c r="J225" s="24" t="s">
        <v>329</v>
      </c>
      <c r="K225" s="22"/>
      <c r="L225" s="23"/>
      <c r="M225" s="23"/>
      <c r="N225" s="23"/>
      <c r="O225" s="23"/>
    </row>
    <row r="226">
      <c r="A226" s="16">
        <f t="shared" si="1"/>
        <v>225</v>
      </c>
      <c r="B226" s="17">
        <v>45279.0</v>
      </c>
      <c r="C226" s="32" t="s">
        <v>110</v>
      </c>
      <c r="D226" s="24" t="s">
        <v>330</v>
      </c>
      <c r="H226" s="18" t="s">
        <v>27</v>
      </c>
      <c r="I226" s="18" t="s">
        <v>65</v>
      </c>
      <c r="J226" s="24" t="s">
        <v>329</v>
      </c>
      <c r="K226" s="22"/>
      <c r="L226" s="23"/>
      <c r="M226" s="23"/>
      <c r="N226" s="23"/>
      <c r="O226" s="23"/>
    </row>
    <row r="227">
      <c r="A227" s="16">
        <f t="shared" si="1"/>
        <v>226</v>
      </c>
      <c r="B227" s="17">
        <v>45281.0</v>
      </c>
      <c r="C227" s="32" t="s">
        <v>110</v>
      </c>
      <c r="D227" s="24" t="s">
        <v>331</v>
      </c>
      <c r="H227" s="18" t="s">
        <v>27</v>
      </c>
      <c r="I227" s="18" t="s">
        <v>65</v>
      </c>
      <c r="J227" s="24" t="s">
        <v>329</v>
      </c>
      <c r="K227" s="22"/>
      <c r="L227" s="23"/>
      <c r="M227" s="23"/>
      <c r="N227" s="23"/>
      <c r="O227" s="23"/>
    </row>
    <row r="228">
      <c r="A228" s="16">
        <f t="shared" si="1"/>
        <v>227</v>
      </c>
      <c r="B228" s="17">
        <v>45281.0</v>
      </c>
      <c r="C228" s="32" t="s">
        <v>110</v>
      </c>
      <c r="D228" s="24" t="s">
        <v>332</v>
      </c>
      <c r="H228" s="18" t="s">
        <v>27</v>
      </c>
      <c r="I228" s="18" t="s">
        <v>65</v>
      </c>
      <c r="J228" s="24" t="s">
        <v>329</v>
      </c>
      <c r="K228" s="22"/>
      <c r="L228" s="23"/>
      <c r="M228" s="23"/>
      <c r="N228" s="23"/>
      <c r="O228" s="23"/>
    </row>
    <row r="229">
      <c r="A229" s="16">
        <f t="shared" si="1"/>
        <v>228</v>
      </c>
      <c r="B229" s="17">
        <v>45281.0</v>
      </c>
      <c r="C229" s="18" t="s">
        <v>44</v>
      </c>
      <c r="D229" s="44" t="s">
        <v>333</v>
      </c>
      <c r="H229" s="18" t="s">
        <v>46</v>
      </c>
      <c r="I229" s="18" t="s">
        <v>65</v>
      </c>
      <c r="J229" s="22"/>
      <c r="K229" s="22"/>
      <c r="L229" s="23"/>
      <c r="M229" s="23"/>
      <c r="N229" s="23"/>
      <c r="O229" s="23"/>
    </row>
    <row r="230">
      <c r="A230" s="16">
        <f t="shared" si="1"/>
        <v>229</v>
      </c>
      <c r="B230" s="17">
        <v>45281.0</v>
      </c>
      <c r="C230" s="18" t="s">
        <v>44</v>
      </c>
      <c r="D230" s="24" t="s">
        <v>334</v>
      </c>
      <c r="H230" s="18" t="s">
        <v>46</v>
      </c>
      <c r="I230" s="18" t="s">
        <v>65</v>
      </c>
      <c r="J230" s="22"/>
      <c r="K230" s="22"/>
      <c r="L230" s="23"/>
      <c r="M230" s="23"/>
      <c r="N230" s="23"/>
      <c r="O230" s="23"/>
    </row>
    <row r="231">
      <c r="A231" s="16">
        <f t="shared" si="1"/>
        <v>230</v>
      </c>
      <c r="B231" s="17">
        <v>45282.0</v>
      </c>
      <c r="C231" s="18" t="s">
        <v>44</v>
      </c>
      <c r="D231" s="24" t="s">
        <v>335</v>
      </c>
      <c r="H231" s="18" t="s">
        <v>23</v>
      </c>
      <c r="I231" s="18" t="s">
        <v>65</v>
      </c>
      <c r="J231" s="22"/>
      <c r="K231" s="24" t="s">
        <v>336</v>
      </c>
      <c r="L231" s="23"/>
      <c r="M231" s="23"/>
      <c r="N231" s="23"/>
      <c r="O231" s="23"/>
    </row>
    <row r="232">
      <c r="A232" s="16">
        <f t="shared" si="1"/>
        <v>231</v>
      </c>
      <c r="B232" s="17">
        <v>45282.0</v>
      </c>
      <c r="C232" s="32" t="s">
        <v>110</v>
      </c>
      <c r="D232" s="24" t="s">
        <v>337</v>
      </c>
      <c r="H232" s="18" t="s">
        <v>27</v>
      </c>
      <c r="I232" s="18" t="s">
        <v>65</v>
      </c>
      <c r="J232" s="22"/>
      <c r="K232" s="22"/>
      <c r="L232" s="23"/>
      <c r="M232" s="23"/>
      <c r="N232" s="23"/>
      <c r="O232" s="17">
        <v>45317.0</v>
      </c>
    </row>
    <row r="233">
      <c r="A233" s="16">
        <f t="shared" si="1"/>
        <v>232</v>
      </c>
      <c r="B233" s="17">
        <v>45282.0</v>
      </c>
      <c r="C233" s="18" t="s">
        <v>44</v>
      </c>
      <c r="D233" s="24" t="s">
        <v>338</v>
      </c>
      <c r="H233" s="18" t="s">
        <v>27</v>
      </c>
      <c r="I233" s="18" t="s">
        <v>65</v>
      </c>
      <c r="J233" s="24" t="s">
        <v>62</v>
      </c>
      <c r="K233" s="22"/>
      <c r="L233" s="23"/>
      <c r="M233" s="23"/>
      <c r="N233" s="23"/>
      <c r="O233" s="23"/>
    </row>
    <row r="234">
      <c r="A234" s="16">
        <f t="shared" si="1"/>
        <v>233</v>
      </c>
      <c r="B234" s="17">
        <v>45282.0</v>
      </c>
      <c r="C234" s="18" t="s">
        <v>312</v>
      </c>
      <c r="D234" s="24" t="s">
        <v>339</v>
      </c>
      <c r="H234" s="18" t="s">
        <v>27</v>
      </c>
      <c r="I234" s="18" t="s">
        <v>65</v>
      </c>
      <c r="J234" s="24" t="s">
        <v>78</v>
      </c>
      <c r="K234" s="22"/>
      <c r="L234" s="23"/>
      <c r="M234" s="23"/>
      <c r="N234" s="23"/>
      <c r="O234" s="23"/>
    </row>
    <row r="235">
      <c r="A235" s="16">
        <f t="shared" si="1"/>
        <v>234</v>
      </c>
      <c r="B235" s="17">
        <v>45282.0</v>
      </c>
      <c r="C235" s="18" t="s">
        <v>312</v>
      </c>
      <c r="D235" s="45" t="s">
        <v>340</v>
      </c>
      <c r="H235" s="18" t="s">
        <v>27</v>
      </c>
      <c r="I235" s="18" t="s">
        <v>65</v>
      </c>
      <c r="J235" s="24" t="s">
        <v>78</v>
      </c>
      <c r="K235" s="22"/>
      <c r="L235" s="23"/>
      <c r="M235" s="23"/>
      <c r="N235" s="23"/>
      <c r="O235" s="23"/>
    </row>
    <row r="236">
      <c r="A236" s="16">
        <f t="shared" si="1"/>
        <v>235</v>
      </c>
      <c r="B236" s="17">
        <v>45282.0</v>
      </c>
      <c r="C236" s="18" t="s">
        <v>312</v>
      </c>
      <c r="D236" s="46" t="s">
        <v>341</v>
      </c>
      <c r="H236" s="18" t="s">
        <v>27</v>
      </c>
      <c r="I236" s="18" t="s">
        <v>65</v>
      </c>
      <c r="J236" s="24" t="s">
        <v>78</v>
      </c>
      <c r="K236" s="22"/>
      <c r="L236" s="23"/>
      <c r="M236" s="23"/>
      <c r="N236" s="23"/>
      <c r="O236" s="23"/>
    </row>
    <row r="237">
      <c r="A237" s="16">
        <f t="shared" si="1"/>
        <v>236</v>
      </c>
      <c r="B237" s="17">
        <v>45282.0</v>
      </c>
      <c r="C237" s="18" t="s">
        <v>312</v>
      </c>
      <c r="D237" s="46" t="s">
        <v>342</v>
      </c>
      <c r="H237" s="18" t="s">
        <v>27</v>
      </c>
      <c r="I237" s="18" t="s">
        <v>65</v>
      </c>
      <c r="J237" s="24" t="s">
        <v>78</v>
      </c>
      <c r="K237" s="22"/>
      <c r="L237" s="23"/>
      <c r="M237" s="23"/>
      <c r="N237" s="23"/>
      <c r="O237" s="23"/>
    </row>
    <row r="238">
      <c r="A238" s="16">
        <f t="shared" si="1"/>
        <v>237</v>
      </c>
      <c r="B238" s="38">
        <v>45285.0</v>
      </c>
      <c r="C238" s="32" t="s">
        <v>312</v>
      </c>
      <c r="D238" s="32" t="s">
        <v>343</v>
      </c>
      <c r="E238" s="32"/>
      <c r="F238" s="32"/>
      <c r="G238" s="32"/>
      <c r="H238" s="40" t="s">
        <v>27</v>
      </c>
      <c r="I238" s="32" t="s">
        <v>24</v>
      </c>
      <c r="J238" s="24" t="s">
        <v>78</v>
      </c>
      <c r="K238" s="22"/>
      <c r="L238" s="23"/>
      <c r="M238" s="23"/>
      <c r="N238" s="23"/>
      <c r="O238" s="23"/>
    </row>
    <row r="239">
      <c r="A239" s="16">
        <f t="shared" si="1"/>
        <v>238</v>
      </c>
      <c r="B239" s="17">
        <v>45285.0</v>
      </c>
      <c r="C239" s="18" t="s">
        <v>87</v>
      </c>
      <c r="D239" s="24" t="s">
        <v>344</v>
      </c>
      <c r="H239" s="18" t="s">
        <v>46</v>
      </c>
      <c r="J239" s="22"/>
      <c r="K239" s="22"/>
      <c r="L239" s="23"/>
      <c r="M239" s="23"/>
      <c r="N239" s="23"/>
      <c r="O239" s="23"/>
    </row>
    <row r="240">
      <c r="A240" s="16">
        <f t="shared" si="1"/>
        <v>239</v>
      </c>
      <c r="B240" s="17">
        <v>45285.0</v>
      </c>
      <c r="C240" s="18" t="s">
        <v>44</v>
      </c>
      <c r="D240" s="24" t="s">
        <v>345</v>
      </c>
      <c r="H240" s="18" t="s">
        <v>23</v>
      </c>
      <c r="J240" s="22"/>
      <c r="K240" s="24" t="s">
        <v>346</v>
      </c>
      <c r="L240" s="23"/>
      <c r="M240" s="23"/>
      <c r="N240" s="23"/>
      <c r="O240" s="23"/>
    </row>
    <row r="241">
      <c r="A241" s="16">
        <f t="shared" si="1"/>
        <v>240</v>
      </c>
      <c r="B241" s="17">
        <v>45285.0</v>
      </c>
      <c r="C241" s="18" t="s">
        <v>87</v>
      </c>
      <c r="D241" s="18" t="s">
        <v>347</v>
      </c>
      <c r="H241" s="47" t="s">
        <v>348</v>
      </c>
      <c r="I241" s="33" t="s">
        <v>65</v>
      </c>
      <c r="J241" s="22"/>
      <c r="K241" s="24" t="s">
        <v>349</v>
      </c>
      <c r="L241" s="23"/>
      <c r="M241" s="23"/>
      <c r="N241" s="23"/>
      <c r="O241" s="23"/>
    </row>
    <row r="242">
      <c r="A242" s="16">
        <f t="shared" si="1"/>
        <v>241</v>
      </c>
      <c r="B242" s="17">
        <v>45285.0</v>
      </c>
      <c r="C242" s="32" t="s">
        <v>110</v>
      </c>
      <c r="D242" s="18" t="s">
        <v>350</v>
      </c>
      <c r="H242" s="18" t="s">
        <v>23</v>
      </c>
      <c r="J242" s="22"/>
      <c r="K242" s="24" t="s">
        <v>351</v>
      </c>
      <c r="L242" s="23"/>
      <c r="M242" s="23"/>
      <c r="N242" s="23"/>
      <c r="O242" s="23"/>
    </row>
    <row r="243">
      <c r="A243" s="16">
        <f t="shared" si="1"/>
        <v>242</v>
      </c>
      <c r="B243" s="17">
        <v>45285.0</v>
      </c>
      <c r="C243" s="32" t="s">
        <v>110</v>
      </c>
      <c r="D243" s="18" t="s">
        <v>352</v>
      </c>
      <c r="H243" s="18" t="s">
        <v>27</v>
      </c>
      <c r="I243" s="33" t="s">
        <v>65</v>
      </c>
      <c r="J243" s="22"/>
      <c r="K243" s="22"/>
      <c r="L243" s="23"/>
      <c r="M243" s="23"/>
      <c r="N243" s="23"/>
      <c r="O243" s="23"/>
    </row>
    <row r="244">
      <c r="A244" s="16">
        <f t="shared" si="1"/>
        <v>243</v>
      </c>
      <c r="B244" s="17">
        <v>45287.0</v>
      </c>
      <c r="C244" s="18" t="s">
        <v>44</v>
      </c>
      <c r="D244" s="24" t="s">
        <v>353</v>
      </c>
      <c r="G244" s="18" t="s">
        <v>354</v>
      </c>
      <c r="H244" s="18" t="s">
        <v>27</v>
      </c>
      <c r="I244" s="33" t="s">
        <v>65</v>
      </c>
      <c r="J244" s="22"/>
      <c r="K244" s="22"/>
      <c r="L244" s="23"/>
      <c r="M244" s="23"/>
      <c r="N244" s="23"/>
      <c r="O244" s="23"/>
    </row>
    <row r="245">
      <c r="A245" s="16">
        <f t="shared" si="1"/>
        <v>244</v>
      </c>
      <c r="B245" s="17">
        <v>45289.0</v>
      </c>
      <c r="C245" s="32" t="s">
        <v>110</v>
      </c>
      <c r="D245" s="24" t="s">
        <v>355</v>
      </c>
      <c r="H245" s="40" t="s">
        <v>27</v>
      </c>
      <c r="I245" s="33" t="s">
        <v>65</v>
      </c>
      <c r="J245" s="22"/>
      <c r="K245" s="22"/>
      <c r="L245" s="23"/>
      <c r="M245" s="23"/>
      <c r="N245" s="23"/>
      <c r="O245" s="17">
        <v>45317.0</v>
      </c>
    </row>
    <row r="246">
      <c r="A246" s="16">
        <f t="shared" si="1"/>
        <v>245</v>
      </c>
      <c r="B246" s="17">
        <v>45289.0</v>
      </c>
      <c r="C246" s="18" t="s">
        <v>312</v>
      </c>
      <c r="D246" s="18" t="s">
        <v>356</v>
      </c>
      <c r="H246" s="18" t="s">
        <v>27</v>
      </c>
      <c r="I246" s="33" t="s">
        <v>65</v>
      </c>
      <c r="J246" s="22"/>
      <c r="K246" s="22"/>
      <c r="L246" s="23"/>
      <c r="M246" s="23"/>
      <c r="N246" s="23"/>
      <c r="O246" s="23"/>
    </row>
    <row r="247">
      <c r="A247" s="16">
        <f t="shared" si="1"/>
        <v>246</v>
      </c>
      <c r="B247" s="17">
        <v>45289.0</v>
      </c>
      <c r="C247" s="18" t="s">
        <v>312</v>
      </c>
      <c r="D247" s="18" t="s">
        <v>356</v>
      </c>
      <c r="H247" s="18" t="s">
        <v>27</v>
      </c>
      <c r="I247" s="33" t="s">
        <v>65</v>
      </c>
      <c r="J247" s="22"/>
      <c r="K247" s="22"/>
      <c r="L247" s="23"/>
      <c r="M247" s="23"/>
      <c r="N247" s="23"/>
      <c r="O247" s="23"/>
    </row>
    <row r="248">
      <c r="A248" s="16">
        <f t="shared" si="1"/>
        <v>247</v>
      </c>
      <c r="B248" s="17">
        <v>45289.0</v>
      </c>
      <c r="C248" s="32" t="s">
        <v>110</v>
      </c>
      <c r="D248" s="24" t="s">
        <v>357</v>
      </c>
      <c r="H248" s="40" t="s">
        <v>27</v>
      </c>
      <c r="I248" s="33" t="s">
        <v>65</v>
      </c>
      <c r="J248" s="22"/>
      <c r="K248" s="22"/>
      <c r="L248" s="23"/>
      <c r="M248" s="23"/>
      <c r="N248" s="23"/>
      <c r="O248" s="17">
        <v>45317.0</v>
      </c>
    </row>
    <row r="249">
      <c r="A249" s="16">
        <f t="shared" si="1"/>
        <v>248</v>
      </c>
      <c r="B249" s="17">
        <v>45289.0</v>
      </c>
      <c r="C249" s="18" t="s">
        <v>44</v>
      </c>
      <c r="D249" s="24" t="s">
        <v>358</v>
      </c>
      <c r="G249" s="18" t="s">
        <v>359</v>
      </c>
      <c r="H249" s="18" t="s">
        <v>27</v>
      </c>
      <c r="I249" s="33" t="s">
        <v>65</v>
      </c>
      <c r="J249" s="22"/>
      <c r="K249" s="24" t="s">
        <v>360</v>
      </c>
      <c r="L249" s="23"/>
      <c r="M249" s="23"/>
      <c r="N249" s="23"/>
      <c r="O249" s="23"/>
    </row>
    <row r="250">
      <c r="A250" s="16">
        <f t="shared" si="1"/>
        <v>249</v>
      </c>
      <c r="B250" s="17">
        <v>45289.0</v>
      </c>
      <c r="C250" s="18" t="s">
        <v>44</v>
      </c>
      <c r="D250" s="24" t="s">
        <v>361</v>
      </c>
      <c r="G250" s="18" t="s">
        <v>362</v>
      </c>
      <c r="H250" s="18" t="s">
        <v>27</v>
      </c>
      <c r="I250" s="33" t="s">
        <v>65</v>
      </c>
      <c r="J250" s="22"/>
      <c r="K250" s="24" t="s">
        <v>363</v>
      </c>
      <c r="L250" s="23"/>
      <c r="M250" s="23"/>
      <c r="N250" s="23"/>
      <c r="O250" s="23"/>
    </row>
    <row r="251">
      <c r="A251" s="16">
        <f t="shared" si="1"/>
        <v>250</v>
      </c>
      <c r="B251" s="17">
        <v>45289.0</v>
      </c>
      <c r="C251" s="18" t="s">
        <v>312</v>
      </c>
      <c r="D251" s="24" t="s">
        <v>364</v>
      </c>
      <c r="H251" s="18" t="s">
        <v>27</v>
      </c>
      <c r="I251" s="33" t="s">
        <v>65</v>
      </c>
      <c r="J251" s="22"/>
      <c r="K251" s="22"/>
      <c r="L251" s="23"/>
      <c r="M251" s="23"/>
      <c r="N251" s="23"/>
      <c r="O251" s="23"/>
    </row>
    <row r="252">
      <c r="A252" s="16">
        <f t="shared" si="1"/>
        <v>251</v>
      </c>
      <c r="B252" s="17">
        <v>45289.0</v>
      </c>
      <c r="C252" s="18" t="s">
        <v>312</v>
      </c>
      <c r="D252" s="24" t="s">
        <v>365</v>
      </c>
      <c r="H252" s="18" t="s">
        <v>27</v>
      </c>
      <c r="I252" s="33" t="s">
        <v>65</v>
      </c>
      <c r="J252" s="22"/>
      <c r="K252" s="22"/>
      <c r="L252" s="23"/>
      <c r="M252" s="23"/>
      <c r="N252" s="23"/>
      <c r="O252" s="23"/>
    </row>
    <row r="253">
      <c r="A253" s="16">
        <f t="shared" si="1"/>
        <v>252</v>
      </c>
      <c r="B253" s="17">
        <v>45293.0</v>
      </c>
      <c r="C253" s="18" t="s">
        <v>92</v>
      </c>
      <c r="D253" s="24" t="s">
        <v>366</v>
      </c>
      <c r="H253" s="18" t="s">
        <v>46</v>
      </c>
      <c r="J253" s="22"/>
      <c r="K253" s="22"/>
      <c r="L253" s="23"/>
      <c r="M253" s="23"/>
      <c r="N253" s="23"/>
      <c r="O253" s="23"/>
    </row>
    <row r="254">
      <c r="A254" s="16">
        <f t="shared" si="1"/>
        <v>253</v>
      </c>
      <c r="B254" s="17">
        <v>45293.0</v>
      </c>
      <c r="C254" s="18" t="s">
        <v>44</v>
      </c>
      <c r="D254" s="24" t="s">
        <v>367</v>
      </c>
      <c r="H254" s="18" t="s">
        <v>27</v>
      </c>
      <c r="I254" s="33" t="s">
        <v>65</v>
      </c>
      <c r="J254" s="22"/>
      <c r="K254" s="22"/>
      <c r="L254" s="23"/>
      <c r="M254" s="23"/>
      <c r="N254" s="23"/>
      <c r="O254" s="23"/>
    </row>
    <row r="255">
      <c r="A255" s="16">
        <f t="shared" si="1"/>
        <v>254</v>
      </c>
      <c r="B255" s="17">
        <v>45296.0</v>
      </c>
      <c r="C255" s="18" t="s">
        <v>312</v>
      </c>
      <c r="D255" s="24" t="s">
        <v>368</v>
      </c>
      <c r="H255" s="18" t="s">
        <v>27</v>
      </c>
      <c r="I255" s="33" t="s">
        <v>65</v>
      </c>
      <c r="J255" s="22"/>
      <c r="K255" s="22"/>
      <c r="L255" s="23"/>
      <c r="M255" s="23"/>
      <c r="N255" s="23"/>
      <c r="O255" s="17">
        <v>45323.0</v>
      </c>
    </row>
    <row r="256">
      <c r="A256" s="16">
        <f t="shared" si="1"/>
        <v>255</v>
      </c>
      <c r="B256" s="17">
        <v>45296.0</v>
      </c>
      <c r="C256" s="18" t="s">
        <v>44</v>
      </c>
      <c r="D256" s="24" t="s">
        <v>369</v>
      </c>
      <c r="H256" s="40" t="s">
        <v>23</v>
      </c>
      <c r="I256" s="33" t="s">
        <v>65</v>
      </c>
      <c r="J256" s="22"/>
      <c r="K256" s="24" t="s">
        <v>370</v>
      </c>
      <c r="L256" s="23"/>
      <c r="M256" s="23"/>
      <c r="N256" s="23"/>
      <c r="O256" s="23"/>
    </row>
    <row r="257">
      <c r="A257" s="16">
        <f t="shared" si="1"/>
        <v>256</v>
      </c>
      <c r="B257" s="17">
        <v>45296.0</v>
      </c>
      <c r="C257" s="18" t="s">
        <v>312</v>
      </c>
      <c r="D257" s="24" t="s">
        <v>371</v>
      </c>
      <c r="H257" s="40" t="s">
        <v>23</v>
      </c>
      <c r="I257" s="33" t="s">
        <v>65</v>
      </c>
      <c r="J257" s="22"/>
      <c r="K257" s="24" t="s">
        <v>372</v>
      </c>
      <c r="L257" s="23"/>
      <c r="M257" s="23"/>
      <c r="N257" s="23"/>
      <c r="O257" s="23"/>
    </row>
    <row r="258">
      <c r="A258" s="16">
        <f t="shared" si="1"/>
        <v>257</v>
      </c>
      <c r="B258" s="17">
        <v>45296.0</v>
      </c>
      <c r="C258" s="18" t="s">
        <v>312</v>
      </c>
      <c r="D258" s="24" t="s">
        <v>373</v>
      </c>
      <c r="H258" s="18" t="s">
        <v>27</v>
      </c>
      <c r="I258" s="33" t="s">
        <v>65</v>
      </c>
      <c r="J258" s="22"/>
      <c r="K258" s="22"/>
      <c r="L258" s="23"/>
      <c r="M258" s="23"/>
      <c r="N258" s="23"/>
      <c r="O258" s="23"/>
    </row>
    <row r="259">
      <c r="A259" s="16">
        <f t="shared" si="1"/>
        <v>258</v>
      </c>
      <c r="B259" s="17">
        <v>45299.0</v>
      </c>
      <c r="C259" s="32" t="s">
        <v>110</v>
      </c>
      <c r="D259" s="24" t="s">
        <v>374</v>
      </c>
      <c r="H259" s="18" t="s">
        <v>27</v>
      </c>
      <c r="I259" s="33" t="s">
        <v>65</v>
      </c>
      <c r="J259" s="22"/>
      <c r="K259" s="22"/>
      <c r="L259" s="23"/>
      <c r="M259" s="23"/>
      <c r="N259" s="23"/>
      <c r="O259" s="17">
        <v>45317.0</v>
      </c>
    </row>
    <row r="260">
      <c r="A260" s="16">
        <f t="shared" si="1"/>
        <v>259</v>
      </c>
      <c r="B260" s="17">
        <v>45299.0</v>
      </c>
      <c r="C260" s="18" t="s">
        <v>44</v>
      </c>
      <c r="D260" s="24" t="s">
        <v>375</v>
      </c>
      <c r="H260" s="18" t="s">
        <v>27</v>
      </c>
      <c r="I260" s="33" t="s">
        <v>65</v>
      </c>
      <c r="J260" s="22"/>
      <c r="K260" s="22"/>
      <c r="L260" s="23"/>
      <c r="M260" s="23"/>
      <c r="N260" s="23"/>
      <c r="O260" s="17">
        <v>45313.0</v>
      </c>
    </row>
    <row r="261">
      <c r="A261" s="16">
        <f t="shared" si="1"/>
        <v>260</v>
      </c>
      <c r="B261" s="17">
        <v>45299.0</v>
      </c>
      <c r="C261" s="18" t="s">
        <v>87</v>
      </c>
      <c r="D261" s="24" t="s">
        <v>376</v>
      </c>
      <c r="H261" s="40" t="s">
        <v>71</v>
      </c>
      <c r="I261" s="33" t="s">
        <v>65</v>
      </c>
      <c r="J261" s="22"/>
      <c r="K261" s="22"/>
      <c r="L261" s="23"/>
      <c r="M261" s="23"/>
      <c r="N261" s="23"/>
      <c r="O261" s="23"/>
    </row>
    <row r="262">
      <c r="A262" s="16">
        <f t="shared" si="1"/>
        <v>261</v>
      </c>
      <c r="B262" s="17">
        <v>45299.0</v>
      </c>
      <c r="C262" s="18" t="s">
        <v>87</v>
      </c>
      <c r="D262" s="44" t="s">
        <v>377</v>
      </c>
      <c r="H262" s="18" t="s">
        <v>46</v>
      </c>
      <c r="J262" s="22"/>
      <c r="K262" s="22"/>
      <c r="L262" s="23"/>
      <c r="M262" s="23"/>
      <c r="N262" s="23"/>
      <c r="O262" s="23"/>
    </row>
    <row r="263">
      <c r="A263" s="16">
        <f t="shared" si="1"/>
        <v>262</v>
      </c>
      <c r="B263" s="48">
        <v>45299.0</v>
      </c>
      <c r="C263" s="32" t="s">
        <v>110</v>
      </c>
      <c r="D263" s="27" t="s">
        <v>378</v>
      </c>
      <c r="H263" s="40" t="s">
        <v>130</v>
      </c>
      <c r="I263" s="33" t="s">
        <v>65</v>
      </c>
      <c r="J263" s="22"/>
      <c r="K263" s="22"/>
      <c r="L263" s="23"/>
      <c r="M263" s="23"/>
      <c r="N263" s="23"/>
      <c r="O263" s="23"/>
    </row>
    <row r="264">
      <c r="A264" s="16">
        <f t="shared" si="1"/>
        <v>263</v>
      </c>
      <c r="B264" s="48">
        <v>45299.0</v>
      </c>
      <c r="C264" s="32" t="s">
        <v>110</v>
      </c>
      <c r="D264" s="18" t="s">
        <v>379</v>
      </c>
      <c r="H264" s="18" t="s">
        <v>46</v>
      </c>
      <c r="I264" s="33" t="s">
        <v>65</v>
      </c>
      <c r="J264" s="22"/>
      <c r="K264" s="22"/>
      <c r="L264" s="23"/>
      <c r="M264" s="23"/>
      <c r="N264" s="23"/>
      <c r="O264" s="23"/>
    </row>
    <row r="265">
      <c r="A265" s="16">
        <f t="shared" si="1"/>
        <v>264</v>
      </c>
      <c r="B265" s="48">
        <v>45299.0</v>
      </c>
      <c r="C265" s="32" t="s">
        <v>110</v>
      </c>
      <c r="D265" s="18" t="s">
        <v>380</v>
      </c>
      <c r="H265" s="18" t="s">
        <v>46</v>
      </c>
      <c r="J265" s="22"/>
      <c r="K265" s="22"/>
      <c r="L265" s="23"/>
      <c r="M265" s="23"/>
      <c r="N265" s="23"/>
      <c r="O265" s="23"/>
    </row>
    <row r="266">
      <c r="A266" s="16">
        <f t="shared" si="1"/>
        <v>265</v>
      </c>
      <c r="B266" s="49">
        <v>45300.0</v>
      </c>
      <c r="C266" s="18" t="s">
        <v>312</v>
      </c>
      <c r="D266" s="24" t="s">
        <v>381</v>
      </c>
      <c r="H266" s="18" t="s">
        <v>27</v>
      </c>
      <c r="I266" s="33" t="s">
        <v>65</v>
      </c>
      <c r="J266" s="22"/>
      <c r="K266" s="22"/>
      <c r="L266" s="23"/>
      <c r="M266" s="23"/>
      <c r="N266" s="23"/>
      <c r="O266" s="17">
        <v>45341.0</v>
      </c>
    </row>
    <row r="267">
      <c r="A267" s="16">
        <f t="shared" si="1"/>
        <v>266</v>
      </c>
      <c r="B267" s="49">
        <v>45300.0</v>
      </c>
      <c r="C267" s="18" t="s">
        <v>312</v>
      </c>
      <c r="D267" s="24" t="s">
        <v>382</v>
      </c>
      <c r="H267" s="18" t="s">
        <v>27</v>
      </c>
      <c r="I267" s="33" t="s">
        <v>65</v>
      </c>
      <c r="J267" s="22"/>
      <c r="K267" s="22"/>
      <c r="L267" s="23"/>
      <c r="M267" s="23"/>
      <c r="N267" s="23"/>
      <c r="O267" s="17">
        <v>45317.0</v>
      </c>
    </row>
    <row r="268">
      <c r="A268" s="16">
        <f t="shared" si="1"/>
        <v>267</v>
      </c>
      <c r="B268" s="17">
        <v>45302.0</v>
      </c>
      <c r="C268" s="18" t="s">
        <v>44</v>
      </c>
      <c r="D268" s="24" t="s">
        <v>383</v>
      </c>
      <c r="H268" s="40" t="s">
        <v>23</v>
      </c>
      <c r="I268" s="33"/>
      <c r="J268" s="22"/>
      <c r="K268" s="24" t="s">
        <v>384</v>
      </c>
      <c r="L268" s="23"/>
      <c r="M268" s="23"/>
      <c r="N268" s="23"/>
      <c r="O268" s="23"/>
    </row>
    <row r="269">
      <c r="A269" s="16">
        <f t="shared" si="1"/>
        <v>268</v>
      </c>
      <c r="B269" s="17">
        <v>45306.0</v>
      </c>
      <c r="C269" s="18" t="s">
        <v>44</v>
      </c>
      <c r="D269" s="24" t="s">
        <v>385</v>
      </c>
      <c r="H269" s="18" t="s">
        <v>27</v>
      </c>
      <c r="I269" s="33" t="s">
        <v>65</v>
      </c>
      <c r="J269" s="22"/>
      <c r="K269" s="22"/>
      <c r="L269" s="23"/>
      <c r="M269" s="23"/>
      <c r="N269" s="23"/>
      <c r="O269" s="17">
        <v>45323.0</v>
      </c>
    </row>
    <row r="270">
      <c r="A270" s="16">
        <f t="shared" si="1"/>
        <v>269</v>
      </c>
      <c r="B270" s="17">
        <v>45307.0</v>
      </c>
      <c r="C270" s="18" t="s">
        <v>87</v>
      </c>
      <c r="D270" s="24" t="s">
        <v>386</v>
      </c>
      <c r="H270" s="18" t="s">
        <v>27</v>
      </c>
      <c r="I270" s="33" t="s">
        <v>65</v>
      </c>
      <c r="J270" s="22"/>
      <c r="K270" s="24" t="s">
        <v>387</v>
      </c>
      <c r="L270" s="23"/>
      <c r="M270" s="23"/>
      <c r="N270" s="23"/>
      <c r="O270" s="23"/>
    </row>
    <row r="271">
      <c r="A271" s="16">
        <f t="shared" si="1"/>
        <v>270</v>
      </c>
      <c r="B271" s="17">
        <v>45307.0</v>
      </c>
      <c r="C271" s="18" t="s">
        <v>44</v>
      </c>
      <c r="D271" s="24" t="s">
        <v>388</v>
      </c>
      <c r="H271" s="40" t="s">
        <v>71</v>
      </c>
      <c r="I271" s="33" t="s">
        <v>65</v>
      </c>
      <c r="J271" s="22"/>
      <c r="K271" s="22"/>
      <c r="L271" s="23"/>
      <c r="M271" s="23"/>
      <c r="N271" s="23"/>
      <c r="O271" s="23"/>
    </row>
    <row r="272">
      <c r="A272" s="16">
        <f t="shared" si="1"/>
        <v>271</v>
      </c>
      <c r="B272" s="17">
        <v>45309.0</v>
      </c>
      <c r="C272" s="18" t="s">
        <v>44</v>
      </c>
      <c r="D272" s="24" t="s">
        <v>389</v>
      </c>
      <c r="H272" s="18" t="s">
        <v>46</v>
      </c>
      <c r="J272" s="22"/>
      <c r="K272" s="22"/>
      <c r="L272" s="23"/>
      <c r="M272" s="23"/>
      <c r="N272" s="23"/>
      <c r="O272" s="23"/>
    </row>
    <row r="273">
      <c r="A273" s="16">
        <f t="shared" si="1"/>
        <v>272</v>
      </c>
      <c r="B273" s="17">
        <v>45309.0</v>
      </c>
      <c r="C273" s="18" t="s">
        <v>44</v>
      </c>
      <c r="D273" s="24" t="s">
        <v>390</v>
      </c>
      <c r="H273" s="18" t="s">
        <v>46</v>
      </c>
      <c r="I273" s="33" t="s">
        <v>65</v>
      </c>
      <c r="J273" s="22"/>
      <c r="K273" s="22"/>
      <c r="L273" s="23"/>
      <c r="M273" s="23"/>
      <c r="N273" s="23"/>
      <c r="O273" s="23"/>
    </row>
    <row r="274">
      <c r="A274" s="16">
        <f t="shared" si="1"/>
        <v>273</v>
      </c>
      <c r="B274" s="17">
        <v>45309.0</v>
      </c>
      <c r="C274" s="18" t="s">
        <v>44</v>
      </c>
      <c r="D274" s="24" t="s">
        <v>391</v>
      </c>
      <c r="H274" s="40" t="s">
        <v>71</v>
      </c>
      <c r="I274" s="33" t="s">
        <v>24</v>
      </c>
      <c r="J274" s="22"/>
      <c r="K274" s="22"/>
      <c r="L274" s="23"/>
      <c r="M274" s="23"/>
      <c r="N274" s="23"/>
      <c r="O274" s="17">
        <v>45313.0</v>
      </c>
    </row>
    <row r="275">
      <c r="A275" s="16">
        <f t="shared" si="1"/>
        <v>274</v>
      </c>
      <c r="B275" s="17">
        <v>45310.0</v>
      </c>
      <c r="C275" s="18" t="s">
        <v>312</v>
      </c>
      <c r="D275" s="24" t="s">
        <v>392</v>
      </c>
      <c r="H275" s="40" t="s">
        <v>23</v>
      </c>
      <c r="I275" s="33"/>
      <c r="J275" s="22"/>
      <c r="K275" s="22"/>
      <c r="L275" s="23"/>
      <c r="M275" s="23"/>
      <c r="N275" s="23"/>
      <c r="O275" s="23"/>
    </row>
    <row r="276">
      <c r="A276" s="16">
        <f t="shared" si="1"/>
        <v>275</v>
      </c>
      <c r="B276" s="17">
        <v>45310.0</v>
      </c>
      <c r="C276" s="32" t="s">
        <v>110</v>
      </c>
      <c r="D276" s="24" t="s">
        <v>393</v>
      </c>
      <c r="H276" s="18" t="s">
        <v>27</v>
      </c>
      <c r="I276" s="33" t="s">
        <v>65</v>
      </c>
      <c r="J276" s="22"/>
      <c r="K276" s="22"/>
      <c r="L276" s="23"/>
      <c r="M276" s="23"/>
      <c r="N276" s="23"/>
      <c r="O276" s="17">
        <v>45358.0</v>
      </c>
    </row>
    <row r="277">
      <c r="A277" s="16">
        <f t="shared" si="1"/>
        <v>276</v>
      </c>
      <c r="B277" s="26">
        <v>45313.0</v>
      </c>
      <c r="C277" s="18" t="s">
        <v>92</v>
      </c>
      <c r="D277" s="24" t="s">
        <v>394</v>
      </c>
      <c r="H277" s="18" t="s">
        <v>27</v>
      </c>
      <c r="I277" s="33" t="s">
        <v>24</v>
      </c>
      <c r="J277" s="22"/>
      <c r="K277" s="22"/>
      <c r="L277" s="23"/>
      <c r="M277" s="23"/>
      <c r="N277" s="23"/>
      <c r="O277" s="17">
        <v>45327.0</v>
      </c>
    </row>
    <row r="278">
      <c r="A278" s="16">
        <f t="shared" si="1"/>
        <v>277</v>
      </c>
      <c r="B278" s="17">
        <v>45313.0</v>
      </c>
      <c r="C278" s="18" t="s">
        <v>110</v>
      </c>
      <c r="D278" s="24" t="s">
        <v>395</v>
      </c>
      <c r="H278" s="33" t="s">
        <v>27</v>
      </c>
      <c r="I278" s="33" t="s">
        <v>65</v>
      </c>
      <c r="J278" s="22"/>
      <c r="K278" s="24" t="s">
        <v>396</v>
      </c>
      <c r="L278" s="23"/>
      <c r="M278" s="23"/>
      <c r="N278" s="23"/>
      <c r="O278" s="23"/>
    </row>
    <row r="279">
      <c r="A279" s="16">
        <f t="shared" si="1"/>
        <v>278</v>
      </c>
      <c r="B279" s="17">
        <v>45313.0</v>
      </c>
      <c r="C279" s="18" t="s">
        <v>92</v>
      </c>
      <c r="D279" s="24" t="s">
        <v>397</v>
      </c>
      <c r="H279" s="33" t="s">
        <v>23</v>
      </c>
      <c r="J279" s="22"/>
      <c r="K279" s="24" t="s">
        <v>398</v>
      </c>
      <c r="L279" s="23"/>
      <c r="M279" s="23"/>
      <c r="N279" s="23"/>
      <c r="O279" s="23"/>
    </row>
    <row r="280">
      <c r="A280" s="16">
        <f t="shared" si="1"/>
        <v>279</v>
      </c>
      <c r="B280" s="17">
        <v>45313.0</v>
      </c>
      <c r="C280" s="18" t="s">
        <v>110</v>
      </c>
      <c r="D280" s="24" t="s">
        <v>399</v>
      </c>
      <c r="H280" s="33" t="s">
        <v>46</v>
      </c>
      <c r="J280" s="22"/>
      <c r="K280" s="22"/>
      <c r="L280" s="23"/>
      <c r="M280" s="23"/>
      <c r="N280" s="23"/>
      <c r="O280" s="23"/>
    </row>
    <row r="281">
      <c r="A281" s="16">
        <f t="shared" si="1"/>
        <v>280</v>
      </c>
      <c r="B281" s="26">
        <v>45313.0</v>
      </c>
      <c r="C281" s="18" t="s">
        <v>92</v>
      </c>
      <c r="D281" s="24" t="s">
        <v>400</v>
      </c>
      <c r="H281" s="33" t="s">
        <v>27</v>
      </c>
      <c r="I281" s="33" t="s">
        <v>65</v>
      </c>
      <c r="J281" s="22"/>
      <c r="K281" s="24" t="s">
        <v>69</v>
      </c>
      <c r="L281" s="23"/>
      <c r="M281" s="23"/>
      <c r="N281" s="23"/>
      <c r="O281" s="17">
        <v>45317.0</v>
      </c>
    </row>
    <row r="282">
      <c r="A282" s="16">
        <f t="shared" si="1"/>
        <v>281</v>
      </c>
      <c r="B282" s="26">
        <v>45313.0</v>
      </c>
      <c r="C282" s="18" t="s">
        <v>44</v>
      </c>
      <c r="D282" s="24" t="s">
        <v>401</v>
      </c>
      <c r="H282" s="33" t="s">
        <v>46</v>
      </c>
      <c r="J282" s="22"/>
      <c r="K282" s="22"/>
      <c r="L282" s="23"/>
      <c r="M282" s="23"/>
      <c r="N282" s="23"/>
      <c r="O282" s="23"/>
    </row>
    <row r="283">
      <c r="A283" s="16">
        <f t="shared" si="1"/>
        <v>282</v>
      </c>
      <c r="B283" s="26">
        <v>45313.0</v>
      </c>
      <c r="C283" s="18" t="s">
        <v>110</v>
      </c>
      <c r="D283" s="24" t="s">
        <v>402</v>
      </c>
      <c r="H283" s="33" t="s">
        <v>27</v>
      </c>
      <c r="I283" s="33" t="s">
        <v>65</v>
      </c>
      <c r="J283" s="22"/>
      <c r="K283" s="24" t="s">
        <v>403</v>
      </c>
      <c r="L283" s="23"/>
      <c r="M283" s="23"/>
      <c r="N283" s="23"/>
      <c r="O283" s="23"/>
    </row>
    <row r="284">
      <c r="A284" s="16">
        <f t="shared" si="1"/>
        <v>283</v>
      </c>
      <c r="B284" s="26">
        <v>45313.0</v>
      </c>
      <c r="C284" s="18" t="s">
        <v>44</v>
      </c>
      <c r="D284" s="18" t="s">
        <v>404</v>
      </c>
      <c r="H284" s="33" t="s">
        <v>27</v>
      </c>
      <c r="J284" s="22"/>
      <c r="K284" s="22"/>
      <c r="L284" s="23"/>
      <c r="M284" s="23"/>
      <c r="N284" s="23"/>
      <c r="O284" s="23"/>
    </row>
    <row r="285">
      <c r="A285" s="16">
        <f t="shared" si="1"/>
        <v>284</v>
      </c>
      <c r="B285" s="26">
        <v>45313.0</v>
      </c>
      <c r="C285" s="18" t="s">
        <v>110</v>
      </c>
      <c r="D285" s="24" t="s">
        <v>405</v>
      </c>
      <c r="H285" s="33" t="s">
        <v>46</v>
      </c>
      <c r="J285" s="22"/>
      <c r="K285" s="22"/>
      <c r="L285" s="23"/>
      <c r="M285" s="23"/>
      <c r="N285" s="23"/>
      <c r="O285" s="23"/>
    </row>
    <row r="286">
      <c r="A286" s="16">
        <f t="shared" si="1"/>
        <v>285</v>
      </c>
      <c r="B286" s="26">
        <v>45313.0</v>
      </c>
      <c r="C286" s="18" t="s">
        <v>110</v>
      </c>
      <c r="D286" s="18" t="s">
        <v>406</v>
      </c>
      <c r="H286" s="33" t="s">
        <v>31</v>
      </c>
      <c r="I286" s="33" t="s">
        <v>24</v>
      </c>
      <c r="J286" s="24" t="s">
        <v>135</v>
      </c>
      <c r="K286" s="24" t="s">
        <v>407</v>
      </c>
      <c r="L286" s="23"/>
      <c r="M286" s="23"/>
      <c r="N286" s="23"/>
      <c r="O286" s="23"/>
    </row>
    <row r="287">
      <c r="A287" s="16">
        <f t="shared" si="1"/>
        <v>286</v>
      </c>
      <c r="B287" s="26">
        <v>45313.0</v>
      </c>
      <c r="C287" s="18" t="s">
        <v>87</v>
      </c>
      <c r="D287" s="24" t="s">
        <v>408</v>
      </c>
      <c r="H287" s="33" t="s">
        <v>46</v>
      </c>
      <c r="J287" s="22"/>
      <c r="K287" s="22"/>
      <c r="L287" s="23"/>
      <c r="M287" s="23"/>
      <c r="N287" s="23"/>
      <c r="O287" s="23"/>
    </row>
    <row r="288">
      <c r="A288" s="16">
        <f t="shared" si="1"/>
        <v>287</v>
      </c>
      <c r="B288" s="17">
        <v>45314.0</v>
      </c>
      <c r="C288" s="18" t="s">
        <v>110</v>
      </c>
      <c r="D288" s="24" t="s">
        <v>409</v>
      </c>
      <c r="H288" s="40" t="s">
        <v>23</v>
      </c>
      <c r="J288" s="22"/>
      <c r="K288" s="24" t="s">
        <v>410</v>
      </c>
      <c r="L288" s="23"/>
      <c r="M288" s="23"/>
      <c r="N288" s="23"/>
      <c r="O288" s="23"/>
    </row>
    <row r="289">
      <c r="A289" s="16">
        <f t="shared" si="1"/>
        <v>288</v>
      </c>
      <c r="B289" s="17">
        <v>45314.0</v>
      </c>
      <c r="C289" s="18" t="s">
        <v>147</v>
      </c>
      <c r="D289" s="24" t="s">
        <v>411</v>
      </c>
      <c r="H289" s="33" t="s">
        <v>31</v>
      </c>
      <c r="J289" s="22"/>
      <c r="K289" s="22"/>
      <c r="L289" s="23"/>
      <c r="M289" s="23"/>
      <c r="N289" s="23"/>
      <c r="O289" s="23"/>
    </row>
    <row r="290">
      <c r="A290" s="16">
        <f t="shared" si="1"/>
        <v>289</v>
      </c>
      <c r="B290" s="17">
        <v>45314.0</v>
      </c>
      <c r="C290" s="18" t="s">
        <v>87</v>
      </c>
      <c r="D290" s="24" t="s">
        <v>412</v>
      </c>
      <c r="H290" s="33" t="s">
        <v>46</v>
      </c>
      <c r="J290" s="22"/>
      <c r="K290" s="22"/>
      <c r="L290" s="23"/>
      <c r="M290" s="23"/>
      <c r="N290" s="23"/>
      <c r="O290" s="23"/>
    </row>
    <row r="291">
      <c r="A291" s="16">
        <f t="shared" si="1"/>
        <v>290</v>
      </c>
      <c r="B291" s="17">
        <v>45317.0</v>
      </c>
      <c r="C291" s="32" t="s">
        <v>110</v>
      </c>
      <c r="D291" s="24" t="s">
        <v>413</v>
      </c>
      <c r="E291" s="24" t="s">
        <v>355</v>
      </c>
      <c r="H291" s="33" t="s">
        <v>27</v>
      </c>
      <c r="J291" s="22"/>
      <c r="K291" s="22"/>
      <c r="L291" s="23"/>
      <c r="M291" s="23"/>
      <c r="N291" s="23"/>
      <c r="O291" s="17">
        <v>45341.0</v>
      </c>
    </row>
    <row r="292">
      <c r="A292" s="16">
        <f t="shared" si="1"/>
        <v>291</v>
      </c>
      <c r="B292" s="17">
        <v>45317.0</v>
      </c>
      <c r="C292" s="18" t="s">
        <v>44</v>
      </c>
      <c r="D292" s="18" t="s">
        <v>414</v>
      </c>
      <c r="H292" s="33" t="s">
        <v>31</v>
      </c>
      <c r="J292" s="24" t="s">
        <v>415</v>
      </c>
      <c r="K292" s="22"/>
      <c r="L292" s="23"/>
      <c r="M292" s="23"/>
      <c r="N292" s="23"/>
      <c r="O292" s="17">
        <v>45546.0</v>
      </c>
      <c r="P292" s="50">
        <v>45546.0</v>
      </c>
      <c r="R292" s="18" t="s">
        <v>416</v>
      </c>
      <c r="T292" s="36" t="s">
        <v>417</v>
      </c>
    </row>
    <row r="293">
      <c r="A293" s="16">
        <f t="shared" si="1"/>
        <v>292</v>
      </c>
      <c r="B293" s="17">
        <v>45327.0</v>
      </c>
      <c r="C293" s="18" t="s">
        <v>92</v>
      </c>
      <c r="D293" s="44" t="s">
        <v>418</v>
      </c>
      <c r="H293" s="33" t="s">
        <v>27</v>
      </c>
      <c r="J293" s="24" t="s">
        <v>419</v>
      </c>
      <c r="K293" s="22"/>
      <c r="L293" s="23"/>
      <c r="M293" s="23"/>
      <c r="N293" s="23"/>
      <c r="O293" s="17">
        <v>45693.0</v>
      </c>
    </row>
    <row r="294">
      <c r="A294" s="16">
        <f t="shared" si="1"/>
        <v>293</v>
      </c>
      <c r="B294" s="48">
        <v>45327.0</v>
      </c>
      <c r="C294" s="32" t="s">
        <v>92</v>
      </c>
      <c r="D294" s="32" t="s">
        <v>420</v>
      </c>
      <c r="H294" s="33" t="s">
        <v>71</v>
      </c>
      <c r="J294" s="24" t="s">
        <v>419</v>
      </c>
      <c r="K294" s="51">
        <v>45957.0</v>
      </c>
      <c r="L294" s="23"/>
      <c r="M294" s="23"/>
      <c r="N294" s="23"/>
      <c r="O294" s="17">
        <v>45957.0</v>
      </c>
    </row>
    <row r="295">
      <c r="A295" s="16">
        <f t="shared" si="1"/>
        <v>294</v>
      </c>
      <c r="B295" s="48">
        <v>45327.0</v>
      </c>
      <c r="C295" s="18" t="s">
        <v>147</v>
      </c>
      <c r="D295" s="24" t="s">
        <v>421</v>
      </c>
      <c r="H295" s="33" t="s">
        <v>27</v>
      </c>
      <c r="J295" s="22"/>
      <c r="K295" s="24" t="s">
        <v>422</v>
      </c>
      <c r="L295" s="23"/>
      <c r="M295" s="23"/>
      <c r="N295" s="23"/>
      <c r="O295" s="23"/>
    </row>
    <row r="296">
      <c r="A296" s="16">
        <f t="shared" si="1"/>
        <v>295</v>
      </c>
      <c r="B296" s="49">
        <v>45328.0</v>
      </c>
      <c r="C296" s="18" t="s">
        <v>92</v>
      </c>
      <c r="D296" s="29" t="s">
        <v>423</v>
      </c>
      <c r="H296" s="33" t="s">
        <v>27</v>
      </c>
      <c r="J296" s="22"/>
      <c r="K296" s="22"/>
      <c r="L296" s="23"/>
      <c r="M296" s="23"/>
      <c r="N296" s="23"/>
      <c r="O296" s="23"/>
    </row>
    <row r="297">
      <c r="A297" s="16">
        <f t="shared" si="1"/>
        <v>296</v>
      </c>
      <c r="B297" s="49">
        <v>45329.0</v>
      </c>
      <c r="C297" s="32" t="s">
        <v>110</v>
      </c>
      <c r="D297" s="24" t="s">
        <v>424</v>
      </c>
      <c r="H297" s="33" t="s">
        <v>27</v>
      </c>
      <c r="J297" s="22"/>
      <c r="K297" s="22"/>
      <c r="L297" s="23"/>
      <c r="M297" s="23"/>
      <c r="N297" s="23"/>
      <c r="O297" s="17">
        <v>45341.0</v>
      </c>
    </row>
    <row r="298">
      <c r="A298" s="16">
        <f t="shared" si="1"/>
        <v>297</v>
      </c>
      <c r="B298" s="49">
        <v>45329.0</v>
      </c>
      <c r="C298" s="18" t="s">
        <v>92</v>
      </c>
      <c r="D298" s="24" t="s">
        <v>425</v>
      </c>
      <c r="H298" s="33" t="s">
        <v>31</v>
      </c>
      <c r="J298" s="22"/>
      <c r="K298" s="22"/>
      <c r="L298" s="23"/>
      <c r="M298" s="23"/>
      <c r="N298" s="23"/>
      <c r="O298" s="23"/>
    </row>
    <row r="299">
      <c r="A299" s="16">
        <f t="shared" si="1"/>
        <v>298</v>
      </c>
      <c r="B299" s="17">
        <v>45337.0</v>
      </c>
      <c r="C299" s="32" t="s">
        <v>110</v>
      </c>
      <c r="D299" s="24" t="s">
        <v>426</v>
      </c>
      <c r="H299" s="33" t="s">
        <v>23</v>
      </c>
      <c r="J299" s="22"/>
      <c r="K299" s="24" t="s">
        <v>427</v>
      </c>
      <c r="L299" s="23"/>
      <c r="M299" s="23"/>
      <c r="N299" s="23"/>
      <c r="O299" s="23"/>
    </row>
    <row r="300">
      <c r="A300" s="16">
        <f t="shared" si="1"/>
        <v>299</v>
      </c>
      <c r="B300" s="17">
        <v>45337.0</v>
      </c>
      <c r="C300" s="32" t="s">
        <v>110</v>
      </c>
      <c r="D300" s="24" t="s">
        <v>428</v>
      </c>
      <c r="H300" s="33" t="s">
        <v>46</v>
      </c>
      <c r="J300" s="22"/>
      <c r="K300" s="22"/>
      <c r="L300" s="23"/>
      <c r="M300" s="23"/>
      <c r="N300" s="23"/>
      <c r="O300" s="23"/>
    </row>
    <row r="301">
      <c r="A301" s="16">
        <f t="shared" si="1"/>
        <v>300</v>
      </c>
      <c r="B301" s="17">
        <v>45337.0</v>
      </c>
      <c r="C301" s="18" t="s">
        <v>44</v>
      </c>
      <c r="D301" s="24" t="s">
        <v>429</v>
      </c>
      <c r="H301" s="33" t="s">
        <v>46</v>
      </c>
      <c r="J301" s="22"/>
      <c r="K301" s="22"/>
      <c r="L301" s="23"/>
      <c r="M301" s="23"/>
      <c r="N301" s="23"/>
      <c r="O301" s="23"/>
    </row>
    <row r="302">
      <c r="A302" s="16">
        <f t="shared" si="1"/>
        <v>301</v>
      </c>
      <c r="B302" s="49">
        <v>45338.0</v>
      </c>
      <c r="C302" s="18" t="s">
        <v>312</v>
      </c>
      <c r="D302" s="24" t="s">
        <v>430</v>
      </c>
      <c r="H302" s="18" t="s">
        <v>27</v>
      </c>
      <c r="J302" s="22"/>
      <c r="K302" s="22"/>
      <c r="L302" s="23"/>
      <c r="M302" s="23"/>
      <c r="N302" s="23"/>
      <c r="O302" s="17">
        <v>45358.0</v>
      </c>
    </row>
    <row r="303">
      <c r="A303" s="16">
        <f t="shared" si="1"/>
        <v>302</v>
      </c>
      <c r="B303" s="17">
        <v>45341.0</v>
      </c>
      <c r="C303" s="18" t="s">
        <v>92</v>
      </c>
      <c r="D303" s="24" t="s">
        <v>431</v>
      </c>
      <c r="H303" s="33" t="s">
        <v>27</v>
      </c>
      <c r="J303" s="22"/>
      <c r="K303" s="22"/>
      <c r="L303" s="23"/>
      <c r="M303" s="23"/>
      <c r="N303" s="23"/>
      <c r="O303" s="17">
        <v>45341.0</v>
      </c>
    </row>
    <row r="304">
      <c r="A304" s="16">
        <f t="shared" si="1"/>
        <v>303</v>
      </c>
      <c r="B304" s="17">
        <v>45341.0</v>
      </c>
      <c r="C304" s="18" t="s">
        <v>92</v>
      </c>
      <c r="D304" s="24" t="s">
        <v>432</v>
      </c>
      <c r="H304" s="33" t="s">
        <v>31</v>
      </c>
      <c r="J304" s="22"/>
      <c r="K304" s="22"/>
      <c r="L304" s="23"/>
      <c r="M304" s="23"/>
      <c r="N304" s="23"/>
      <c r="O304" s="17">
        <v>45351.0</v>
      </c>
    </row>
    <row r="305">
      <c r="A305" s="16">
        <f t="shared" si="1"/>
        <v>304</v>
      </c>
      <c r="B305" s="17">
        <v>45341.0</v>
      </c>
      <c r="C305" s="18" t="s">
        <v>92</v>
      </c>
      <c r="D305" s="24" t="s">
        <v>433</v>
      </c>
      <c r="H305" s="33" t="s">
        <v>27</v>
      </c>
      <c r="J305" s="22"/>
      <c r="K305" s="22"/>
      <c r="L305" s="23"/>
      <c r="M305" s="23"/>
      <c r="N305" s="23"/>
      <c r="O305" s="17">
        <v>45329.0</v>
      </c>
    </row>
    <row r="306">
      <c r="A306" s="16">
        <f t="shared" si="1"/>
        <v>305</v>
      </c>
      <c r="B306" s="17">
        <v>45341.0</v>
      </c>
      <c r="C306" s="18" t="s">
        <v>92</v>
      </c>
      <c r="D306" s="24" t="s">
        <v>434</v>
      </c>
      <c r="H306" s="33" t="s">
        <v>31</v>
      </c>
      <c r="J306" s="24" t="s">
        <v>135</v>
      </c>
      <c r="K306" s="22"/>
      <c r="L306" s="23"/>
      <c r="M306" s="23"/>
      <c r="N306" s="23"/>
      <c r="O306" s="23"/>
    </row>
    <row r="307">
      <c r="A307" s="16">
        <f t="shared" si="1"/>
        <v>306</v>
      </c>
      <c r="B307" s="17">
        <v>45341.0</v>
      </c>
      <c r="C307" s="18" t="s">
        <v>92</v>
      </c>
      <c r="D307" s="24" t="s">
        <v>435</v>
      </c>
      <c r="H307" s="33" t="s">
        <v>23</v>
      </c>
      <c r="J307" s="22"/>
      <c r="K307" s="24" t="s">
        <v>436</v>
      </c>
      <c r="L307" s="23"/>
      <c r="M307" s="23"/>
      <c r="N307" s="23"/>
      <c r="O307" s="23"/>
    </row>
    <row r="308">
      <c r="A308" s="16">
        <f t="shared" si="1"/>
        <v>307</v>
      </c>
      <c r="B308" s="17">
        <v>45341.0</v>
      </c>
      <c r="C308" s="18" t="s">
        <v>92</v>
      </c>
      <c r="D308" s="24" t="s">
        <v>437</v>
      </c>
      <c r="H308" s="33" t="s">
        <v>23</v>
      </c>
      <c r="J308" s="22"/>
      <c r="K308" s="24" t="s">
        <v>436</v>
      </c>
      <c r="L308" s="23"/>
      <c r="M308" s="23"/>
      <c r="N308" s="23"/>
      <c r="O308" s="23"/>
    </row>
    <row r="309">
      <c r="A309" s="16">
        <f t="shared" si="1"/>
        <v>308</v>
      </c>
      <c r="B309" s="17">
        <v>45341.0</v>
      </c>
      <c r="C309" s="18" t="s">
        <v>92</v>
      </c>
      <c r="D309" s="24" t="s">
        <v>438</v>
      </c>
      <c r="H309" s="33" t="s">
        <v>31</v>
      </c>
      <c r="J309" s="22"/>
      <c r="K309" s="22"/>
      <c r="L309" s="23"/>
      <c r="M309" s="23"/>
      <c r="N309" s="23"/>
      <c r="O309" s="17">
        <v>45329.0</v>
      </c>
    </row>
    <row r="310">
      <c r="A310" s="16">
        <f t="shared" si="1"/>
        <v>309</v>
      </c>
      <c r="B310" s="17">
        <v>45341.0</v>
      </c>
      <c r="C310" s="18" t="s">
        <v>92</v>
      </c>
      <c r="D310" s="24" t="s">
        <v>439</v>
      </c>
      <c r="H310" s="33" t="s">
        <v>23</v>
      </c>
      <c r="J310" s="22"/>
      <c r="K310" s="24" t="s">
        <v>440</v>
      </c>
      <c r="L310" s="23"/>
      <c r="M310" s="23"/>
      <c r="N310" s="23"/>
      <c r="O310" s="23"/>
    </row>
    <row r="311">
      <c r="A311" s="16">
        <f t="shared" si="1"/>
        <v>310</v>
      </c>
      <c r="B311" s="17">
        <v>45341.0</v>
      </c>
      <c r="C311" s="18" t="s">
        <v>92</v>
      </c>
      <c r="D311" s="24" t="s">
        <v>441</v>
      </c>
      <c r="H311" s="33" t="s">
        <v>31</v>
      </c>
      <c r="J311" s="24" t="s">
        <v>135</v>
      </c>
      <c r="K311" s="22"/>
      <c r="L311" s="23"/>
      <c r="M311" s="23"/>
      <c r="N311" s="23"/>
      <c r="O311" s="23"/>
    </row>
    <row r="312">
      <c r="A312" s="16">
        <f t="shared" si="1"/>
        <v>311</v>
      </c>
      <c r="B312" s="17">
        <v>45341.0</v>
      </c>
      <c r="C312" s="18" t="s">
        <v>92</v>
      </c>
      <c r="D312" s="24" t="s">
        <v>442</v>
      </c>
      <c r="H312" s="33" t="s">
        <v>130</v>
      </c>
      <c r="J312" s="22"/>
      <c r="K312" s="22"/>
      <c r="L312" s="23"/>
      <c r="M312" s="23"/>
      <c r="N312" s="23"/>
      <c r="O312" s="17">
        <v>45362.0</v>
      </c>
    </row>
    <row r="313">
      <c r="A313" s="16">
        <f t="shared" si="1"/>
        <v>312</v>
      </c>
      <c r="B313" s="17">
        <v>45341.0</v>
      </c>
      <c r="C313" s="18" t="s">
        <v>92</v>
      </c>
      <c r="D313" s="24" t="s">
        <v>443</v>
      </c>
      <c r="H313" s="33" t="s">
        <v>71</v>
      </c>
      <c r="J313" s="22"/>
      <c r="K313" s="22"/>
      <c r="L313" s="23"/>
      <c r="M313" s="23"/>
      <c r="N313" s="23"/>
      <c r="O313" s="17">
        <v>45362.0</v>
      </c>
    </row>
    <row r="314">
      <c r="A314" s="16">
        <f t="shared" si="1"/>
        <v>313</v>
      </c>
      <c r="B314" s="17">
        <v>45341.0</v>
      </c>
      <c r="C314" s="18" t="s">
        <v>92</v>
      </c>
      <c r="D314" s="24" t="s">
        <v>444</v>
      </c>
      <c r="H314" s="33" t="s">
        <v>31</v>
      </c>
      <c r="J314" s="22"/>
      <c r="K314" s="22"/>
      <c r="L314" s="23"/>
      <c r="M314" s="23"/>
      <c r="N314" s="23"/>
      <c r="O314" s="17">
        <v>45358.0</v>
      </c>
    </row>
    <row r="315">
      <c r="A315" s="16">
        <f t="shared" si="1"/>
        <v>314</v>
      </c>
      <c r="B315" s="17">
        <v>45341.0</v>
      </c>
      <c r="C315" s="18" t="s">
        <v>92</v>
      </c>
      <c r="D315" s="24" t="s">
        <v>445</v>
      </c>
      <c r="H315" s="33" t="s">
        <v>31</v>
      </c>
      <c r="J315" s="22"/>
      <c r="K315" s="22"/>
      <c r="L315" s="23"/>
      <c r="M315" s="23"/>
      <c r="N315" s="23"/>
      <c r="O315" s="17">
        <v>45362.0</v>
      </c>
    </row>
    <row r="316">
      <c r="A316" s="16">
        <f t="shared" si="1"/>
        <v>315</v>
      </c>
      <c r="B316" s="17">
        <v>45341.0</v>
      </c>
      <c r="C316" s="18" t="s">
        <v>92</v>
      </c>
      <c r="D316" s="24" t="s">
        <v>446</v>
      </c>
      <c r="H316" s="33" t="s">
        <v>23</v>
      </c>
      <c r="J316" s="22"/>
      <c r="K316" s="24" t="s">
        <v>447</v>
      </c>
      <c r="L316" s="23"/>
      <c r="M316" s="23"/>
      <c r="N316" s="23"/>
      <c r="O316" s="23"/>
    </row>
    <row r="317">
      <c r="A317" s="16">
        <f t="shared" si="1"/>
        <v>316</v>
      </c>
      <c r="B317" s="17">
        <v>45341.0</v>
      </c>
      <c r="C317" s="18" t="s">
        <v>92</v>
      </c>
      <c r="D317" s="18" t="s">
        <v>448</v>
      </c>
      <c r="H317" s="33" t="s">
        <v>23</v>
      </c>
      <c r="J317" s="22"/>
      <c r="K317" s="24" t="s">
        <v>449</v>
      </c>
      <c r="L317" s="23"/>
      <c r="M317" s="23"/>
      <c r="N317" s="23"/>
      <c r="O317" s="23"/>
    </row>
    <row r="318">
      <c r="A318" s="16">
        <f t="shared" si="1"/>
        <v>317</v>
      </c>
      <c r="B318" s="17">
        <v>45341.0</v>
      </c>
      <c r="C318" s="18" t="s">
        <v>92</v>
      </c>
      <c r="D318" s="24" t="s">
        <v>450</v>
      </c>
      <c r="H318" s="33" t="s">
        <v>31</v>
      </c>
      <c r="J318" s="22"/>
      <c r="K318" s="22"/>
      <c r="L318" s="23"/>
      <c r="M318" s="23"/>
      <c r="N318" s="23"/>
      <c r="O318" s="17">
        <v>45358.0</v>
      </c>
    </row>
    <row r="319">
      <c r="A319" s="16">
        <f t="shared" si="1"/>
        <v>318</v>
      </c>
      <c r="B319" s="17">
        <v>45341.0</v>
      </c>
      <c r="C319" s="18" t="s">
        <v>92</v>
      </c>
      <c r="D319" s="24" t="s">
        <v>451</v>
      </c>
      <c r="H319" s="33" t="s">
        <v>46</v>
      </c>
      <c r="J319" s="22"/>
      <c r="K319" s="22"/>
      <c r="L319" s="23"/>
      <c r="M319" s="23"/>
      <c r="N319" s="23"/>
      <c r="O319" s="23"/>
    </row>
    <row r="320">
      <c r="A320" s="16">
        <f t="shared" si="1"/>
        <v>319</v>
      </c>
      <c r="B320" s="17">
        <v>45341.0</v>
      </c>
      <c r="C320" s="18" t="s">
        <v>92</v>
      </c>
      <c r="D320" s="24" t="s">
        <v>452</v>
      </c>
      <c r="H320" s="33" t="s">
        <v>71</v>
      </c>
      <c r="J320" s="22"/>
      <c r="K320" s="22"/>
      <c r="L320" s="23"/>
      <c r="M320" s="23"/>
      <c r="N320" s="23"/>
      <c r="O320" s="17">
        <v>45362.0</v>
      </c>
    </row>
    <row r="321">
      <c r="A321" s="16">
        <f t="shared" si="1"/>
        <v>320</v>
      </c>
      <c r="B321" s="17">
        <v>45341.0</v>
      </c>
      <c r="C321" s="18" t="s">
        <v>453</v>
      </c>
      <c r="D321" s="24" t="s">
        <v>454</v>
      </c>
      <c r="H321" s="33" t="s">
        <v>46</v>
      </c>
      <c r="J321" s="22"/>
      <c r="K321" s="22"/>
      <c r="L321" s="23"/>
      <c r="M321" s="23"/>
      <c r="N321" s="23"/>
      <c r="O321" s="23"/>
    </row>
    <row r="322">
      <c r="A322" s="16">
        <f t="shared" si="1"/>
        <v>321</v>
      </c>
      <c r="B322" s="17">
        <v>45341.0</v>
      </c>
      <c r="C322" s="18" t="s">
        <v>312</v>
      </c>
      <c r="D322" s="24" t="s">
        <v>455</v>
      </c>
      <c r="H322" s="18" t="s">
        <v>27</v>
      </c>
      <c r="J322" s="22"/>
      <c r="K322" s="22"/>
      <c r="L322" s="23"/>
      <c r="M322" s="23"/>
      <c r="N322" s="23"/>
      <c r="O322" s="23"/>
    </row>
    <row r="323">
      <c r="A323" s="16">
        <f t="shared" si="1"/>
        <v>322</v>
      </c>
      <c r="B323" s="17">
        <v>45341.0</v>
      </c>
      <c r="C323" s="18" t="s">
        <v>44</v>
      </c>
      <c r="D323" s="24" t="s">
        <v>456</v>
      </c>
      <c r="H323" s="33" t="s">
        <v>23</v>
      </c>
      <c r="J323" s="24" t="s">
        <v>457</v>
      </c>
      <c r="K323" s="24" t="s">
        <v>458</v>
      </c>
      <c r="L323" s="23"/>
      <c r="M323" s="23"/>
      <c r="N323" s="23"/>
      <c r="O323" s="23"/>
    </row>
    <row r="324">
      <c r="A324" s="16">
        <f t="shared" si="1"/>
        <v>323</v>
      </c>
      <c r="B324" s="17">
        <v>45341.0</v>
      </c>
      <c r="C324" s="18" t="s">
        <v>87</v>
      </c>
      <c r="D324" s="24" t="s">
        <v>459</v>
      </c>
      <c r="H324" s="33" t="s">
        <v>46</v>
      </c>
      <c r="J324" s="22"/>
      <c r="K324" s="22"/>
      <c r="L324" s="23"/>
      <c r="M324" s="23"/>
      <c r="N324" s="23"/>
      <c r="O324" s="23"/>
    </row>
    <row r="325">
      <c r="A325" s="16">
        <f t="shared" si="1"/>
        <v>324</v>
      </c>
      <c r="B325" s="17">
        <v>45341.0</v>
      </c>
      <c r="C325" s="18" t="s">
        <v>44</v>
      </c>
      <c r="D325" s="24" t="s">
        <v>460</v>
      </c>
      <c r="H325" s="18" t="s">
        <v>27</v>
      </c>
      <c r="J325" s="22"/>
      <c r="K325" s="22"/>
      <c r="L325" s="23"/>
      <c r="M325" s="23"/>
      <c r="N325" s="23"/>
      <c r="O325" s="23"/>
    </row>
    <row r="326">
      <c r="A326" s="16">
        <f t="shared" si="1"/>
        <v>325</v>
      </c>
      <c r="B326" s="17">
        <v>45341.0</v>
      </c>
      <c r="C326" s="18" t="s">
        <v>44</v>
      </c>
      <c r="D326" s="24" t="s">
        <v>461</v>
      </c>
      <c r="H326" s="33" t="s">
        <v>46</v>
      </c>
      <c r="J326" s="22"/>
      <c r="K326" s="22"/>
      <c r="L326" s="23"/>
      <c r="M326" s="23"/>
      <c r="N326" s="23"/>
      <c r="O326" s="23"/>
    </row>
    <row r="327">
      <c r="A327" s="16">
        <f t="shared" si="1"/>
        <v>326</v>
      </c>
      <c r="B327" s="17">
        <v>45341.0</v>
      </c>
      <c r="C327" s="18" t="s">
        <v>44</v>
      </c>
      <c r="D327" s="24" t="s">
        <v>462</v>
      </c>
      <c r="H327" s="18" t="s">
        <v>27</v>
      </c>
      <c r="J327" s="22"/>
      <c r="K327" s="22"/>
      <c r="L327" s="23"/>
      <c r="M327" s="23"/>
      <c r="N327" s="23"/>
      <c r="O327" s="17">
        <v>45358.0</v>
      </c>
    </row>
    <row r="328">
      <c r="A328" s="16">
        <f t="shared" si="1"/>
        <v>327</v>
      </c>
      <c r="B328" s="17">
        <v>45342.0</v>
      </c>
      <c r="C328" s="18" t="s">
        <v>147</v>
      </c>
      <c r="D328" s="24" t="s">
        <v>463</v>
      </c>
      <c r="H328" s="33" t="s">
        <v>27</v>
      </c>
      <c r="J328" s="22"/>
      <c r="K328" s="22"/>
      <c r="L328" s="23"/>
      <c r="M328" s="23"/>
      <c r="N328" s="23"/>
      <c r="O328" s="17">
        <v>45344.0</v>
      </c>
    </row>
    <row r="329">
      <c r="A329" s="16">
        <f t="shared" si="1"/>
        <v>328</v>
      </c>
      <c r="B329" s="17">
        <v>45343.0</v>
      </c>
      <c r="C329" s="32" t="s">
        <v>110</v>
      </c>
      <c r="D329" s="24" t="s">
        <v>464</v>
      </c>
      <c r="H329" s="47" t="s">
        <v>348</v>
      </c>
      <c r="J329" s="22"/>
      <c r="K329" s="22"/>
      <c r="L329" s="23"/>
      <c r="M329" s="23"/>
      <c r="N329" s="23"/>
      <c r="O329" s="23"/>
    </row>
    <row r="330">
      <c r="A330" s="16">
        <f t="shared" si="1"/>
        <v>329</v>
      </c>
      <c r="B330" s="17">
        <v>45344.0</v>
      </c>
      <c r="C330" s="18" t="s">
        <v>92</v>
      </c>
      <c r="D330" s="44" t="s">
        <v>465</v>
      </c>
      <c r="H330" s="33" t="s">
        <v>71</v>
      </c>
      <c r="J330" s="24" t="s">
        <v>419</v>
      </c>
      <c r="K330" s="51">
        <v>45957.0</v>
      </c>
      <c r="L330" s="23"/>
      <c r="M330" s="23"/>
      <c r="N330" s="23"/>
      <c r="O330" s="17">
        <v>45957.0</v>
      </c>
    </row>
    <row r="331">
      <c r="A331" s="16">
        <f t="shared" si="1"/>
        <v>330</v>
      </c>
      <c r="B331" s="17">
        <v>45345.0</v>
      </c>
      <c r="C331" s="18" t="s">
        <v>312</v>
      </c>
      <c r="D331" s="24" t="s">
        <v>466</v>
      </c>
      <c r="H331" s="18" t="s">
        <v>27</v>
      </c>
      <c r="J331" s="24" t="s">
        <v>323</v>
      </c>
      <c r="K331" s="22"/>
      <c r="L331" s="23"/>
      <c r="M331" s="23"/>
      <c r="N331" s="23"/>
      <c r="O331" s="23"/>
    </row>
    <row r="332">
      <c r="A332" s="16">
        <f t="shared" si="1"/>
        <v>331</v>
      </c>
      <c r="B332" s="17">
        <v>45348.0</v>
      </c>
      <c r="C332" s="18" t="s">
        <v>87</v>
      </c>
      <c r="D332" s="24" t="s">
        <v>467</v>
      </c>
      <c r="H332" s="33" t="s">
        <v>46</v>
      </c>
      <c r="J332" s="22"/>
      <c r="K332" s="22"/>
      <c r="L332" s="23"/>
      <c r="M332" s="23"/>
      <c r="N332" s="23"/>
      <c r="O332" s="23"/>
    </row>
    <row r="333">
      <c r="A333" s="16">
        <f t="shared" si="1"/>
        <v>332</v>
      </c>
      <c r="B333" s="17">
        <v>45348.0</v>
      </c>
      <c r="C333" s="18" t="s">
        <v>87</v>
      </c>
      <c r="D333" s="24" t="s">
        <v>468</v>
      </c>
      <c r="H333" s="33" t="s">
        <v>23</v>
      </c>
      <c r="J333" s="22"/>
      <c r="K333" s="24" t="s">
        <v>469</v>
      </c>
      <c r="L333" s="23"/>
      <c r="M333" s="23"/>
      <c r="N333" s="17">
        <v>45349.0</v>
      </c>
      <c r="O333" s="23"/>
    </row>
    <row r="334">
      <c r="A334" s="16">
        <f t="shared" si="1"/>
        <v>333</v>
      </c>
      <c r="B334" s="17">
        <v>45352.0</v>
      </c>
      <c r="C334" s="18" t="s">
        <v>92</v>
      </c>
      <c r="D334" s="24" t="s">
        <v>470</v>
      </c>
      <c r="H334" s="33" t="s">
        <v>27</v>
      </c>
      <c r="J334" s="22"/>
      <c r="K334" s="24" t="s">
        <v>471</v>
      </c>
      <c r="L334" s="23"/>
      <c r="M334" s="23"/>
      <c r="N334" s="23"/>
      <c r="O334" s="23"/>
    </row>
    <row r="335">
      <c r="A335" s="16">
        <f t="shared" si="1"/>
        <v>334</v>
      </c>
      <c r="B335" s="17">
        <v>45352.0</v>
      </c>
      <c r="C335" s="18" t="s">
        <v>92</v>
      </c>
      <c r="D335" s="24" t="s">
        <v>472</v>
      </c>
      <c r="H335" s="33" t="s">
        <v>27</v>
      </c>
      <c r="J335" s="22"/>
      <c r="K335" s="22"/>
      <c r="L335" s="23"/>
      <c r="M335" s="23"/>
      <c r="N335" s="23"/>
      <c r="O335" s="23"/>
    </row>
    <row r="336">
      <c r="A336" s="16">
        <f t="shared" si="1"/>
        <v>335</v>
      </c>
      <c r="B336" s="17">
        <v>45352.0</v>
      </c>
      <c r="C336" s="18" t="s">
        <v>92</v>
      </c>
      <c r="D336" s="24" t="s">
        <v>473</v>
      </c>
      <c r="H336" s="33" t="s">
        <v>23</v>
      </c>
      <c r="J336" s="22"/>
      <c r="K336" s="22"/>
      <c r="L336" s="23"/>
      <c r="M336" s="23"/>
      <c r="N336" s="23"/>
      <c r="O336" s="23"/>
    </row>
    <row r="337">
      <c r="A337" s="16">
        <f t="shared" si="1"/>
        <v>336</v>
      </c>
      <c r="B337" s="17">
        <v>45355.0</v>
      </c>
      <c r="C337" s="18" t="s">
        <v>92</v>
      </c>
      <c r="D337" s="24" t="s">
        <v>474</v>
      </c>
      <c r="H337" s="33" t="s">
        <v>31</v>
      </c>
      <c r="J337" s="22"/>
      <c r="K337" s="22"/>
      <c r="L337" s="23"/>
      <c r="M337" s="23"/>
      <c r="N337" s="23"/>
      <c r="O337" s="17">
        <v>45358.0</v>
      </c>
    </row>
    <row r="338">
      <c r="A338" s="16">
        <f t="shared" si="1"/>
        <v>337</v>
      </c>
      <c r="B338" s="17">
        <v>45355.0</v>
      </c>
      <c r="C338" s="18" t="s">
        <v>312</v>
      </c>
      <c r="D338" s="24" t="s">
        <v>475</v>
      </c>
      <c r="H338" s="18" t="s">
        <v>27</v>
      </c>
      <c r="J338" s="22"/>
      <c r="K338" s="24" t="s">
        <v>476</v>
      </c>
      <c r="L338" s="23"/>
      <c r="M338" s="23"/>
      <c r="N338" s="23"/>
      <c r="O338" s="23"/>
    </row>
    <row r="339">
      <c r="A339" s="16">
        <f t="shared" si="1"/>
        <v>338</v>
      </c>
      <c r="B339" s="17">
        <v>45355.0</v>
      </c>
      <c r="C339" s="18" t="s">
        <v>87</v>
      </c>
      <c r="D339" s="24" t="s">
        <v>477</v>
      </c>
      <c r="H339" s="18" t="s">
        <v>27</v>
      </c>
      <c r="J339" s="22"/>
      <c r="K339" s="22"/>
      <c r="L339" s="23"/>
      <c r="M339" s="23"/>
      <c r="N339" s="23"/>
      <c r="O339" s="17">
        <v>45358.0</v>
      </c>
    </row>
    <row r="340">
      <c r="A340" s="16">
        <f t="shared" si="1"/>
        <v>339</v>
      </c>
      <c r="B340" s="17">
        <v>45355.0</v>
      </c>
      <c r="C340" s="18" t="s">
        <v>87</v>
      </c>
      <c r="D340" s="24" t="s">
        <v>478</v>
      </c>
      <c r="H340" s="33" t="s">
        <v>46</v>
      </c>
      <c r="J340" s="22"/>
      <c r="K340" s="22"/>
      <c r="L340" s="23"/>
      <c r="M340" s="23"/>
      <c r="N340" s="23"/>
      <c r="O340" s="23"/>
    </row>
    <row r="341">
      <c r="A341" s="16">
        <f t="shared" si="1"/>
        <v>340</v>
      </c>
      <c r="B341" s="17">
        <v>45356.0</v>
      </c>
      <c r="C341" s="18" t="s">
        <v>92</v>
      </c>
      <c r="D341" s="24" t="s">
        <v>479</v>
      </c>
      <c r="H341" s="33" t="s">
        <v>23</v>
      </c>
      <c r="J341" s="22"/>
      <c r="K341" s="24" t="s">
        <v>480</v>
      </c>
      <c r="L341" s="23"/>
      <c r="M341" s="23"/>
      <c r="N341" s="23"/>
      <c r="O341" s="23"/>
    </row>
    <row r="342">
      <c r="A342" s="16">
        <f t="shared" si="1"/>
        <v>341</v>
      </c>
      <c r="B342" s="17">
        <v>45357.0</v>
      </c>
      <c r="C342" s="18" t="s">
        <v>92</v>
      </c>
      <c r="D342" s="24" t="s">
        <v>481</v>
      </c>
      <c r="H342" s="33" t="s">
        <v>31</v>
      </c>
      <c r="J342" s="22"/>
      <c r="K342" s="22"/>
      <c r="L342" s="23"/>
      <c r="M342" s="23"/>
      <c r="N342" s="23"/>
      <c r="O342" s="17">
        <v>45362.0</v>
      </c>
    </row>
    <row r="343">
      <c r="A343" s="16">
        <f t="shared" si="1"/>
        <v>342</v>
      </c>
      <c r="B343" s="17">
        <v>45357.0</v>
      </c>
      <c r="C343" s="18" t="s">
        <v>92</v>
      </c>
      <c r="D343" s="24" t="s">
        <v>482</v>
      </c>
      <c r="H343" s="33" t="s">
        <v>23</v>
      </c>
      <c r="J343" s="22"/>
      <c r="K343" s="24" t="s">
        <v>483</v>
      </c>
      <c r="L343" s="23"/>
      <c r="M343" s="23"/>
      <c r="N343" s="23"/>
      <c r="O343" s="23"/>
    </row>
    <row r="344">
      <c r="A344" s="16">
        <f t="shared" si="1"/>
        <v>343</v>
      </c>
      <c r="B344" s="17">
        <v>45358.0</v>
      </c>
      <c r="C344" s="18" t="s">
        <v>92</v>
      </c>
      <c r="D344" s="24" t="s">
        <v>484</v>
      </c>
      <c r="H344" s="33" t="s">
        <v>31</v>
      </c>
      <c r="J344" s="22"/>
      <c r="K344" s="22"/>
      <c r="L344" s="23"/>
      <c r="M344" s="23"/>
      <c r="N344" s="23"/>
      <c r="O344" s="23"/>
    </row>
    <row r="345">
      <c r="A345" s="16">
        <f t="shared" si="1"/>
        <v>344</v>
      </c>
      <c r="B345" s="17">
        <v>45359.0</v>
      </c>
      <c r="C345" s="33" t="s">
        <v>110</v>
      </c>
      <c r="D345" s="24" t="s">
        <v>485</v>
      </c>
      <c r="H345" s="33" t="s">
        <v>46</v>
      </c>
      <c r="J345" s="22"/>
      <c r="K345" s="22"/>
      <c r="L345" s="23"/>
      <c r="M345" s="23"/>
      <c r="N345" s="23"/>
      <c r="O345" s="23"/>
    </row>
    <row r="346">
      <c r="A346" s="16">
        <f t="shared" si="1"/>
        <v>345</v>
      </c>
      <c r="B346" s="17">
        <v>45362.0</v>
      </c>
      <c r="C346" s="18" t="s">
        <v>312</v>
      </c>
      <c r="D346" s="24" t="s">
        <v>486</v>
      </c>
      <c r="H346" s="18" t="s">
        <v>27</v>
      </c>
      <c r="J346" s="22"/>
      <c r="K346" s="22"/>
      <c r="L346" s="23"/>
      <c r="M346" s="23"/>
      <c r="N346" s="23"/>
      <c r="O346" s="23"/>
    </row>
    <row r="347">
      <c r="A347" s="16">
        <f t="shared" si="1"/>
        <v>346</v>
      </c>
      <c r="B347" s="17">
        <v>45369.0</v>
      </c>
      <c r="C347" s="18" t="s">
        <v>110</v>
      </c>
      <c r="D347" s="24" t="s">
        <v>487</v>
      </c>
      <c r="H347" s="40" t="s">
        <v>71</v>
      </c>
      <c r="J347" s="22"/>
      <c r="K347" s="22"/>
      <c r="L347" s="23"/>
      <c r="M347" s="23"/>
      <c r="N347" s="23"/>
      <c r="O347" s="23"/>
    </row>
    <row r="348">
      <c r="A348" s="16">
        <f t="shared" si="1"/>
        <v>347</v>
      </c>
      <c r="B348" s="17">
        <v>45369.0</v>
      </c>
      <c r="C348" s="18" t="s">
        <v>110</v>
      </c>
      <c r="D348" s="24" t="s">
        <v>488</v>
      </c>
      <c r="H348" s="33" t="s">
        <v>46</v>
      </c>
      <c r="J348" s="22"/>
      <c r="K348" s="22"/>
      <c r="L348" s="23"/>
      <c r="M348" s="23"/>
      <c r="N348" s="23"/>
      <c r="O348" s="23"/>
    </row>
    <row r="349">
      <c r="A349" s="16">
        <f t="shared" si="1"/>
        <v>348</v>
      </c>
      <c r="B349" s="17">
        <v>45369.0</v>
      </c>
      <c r="C349" s="18" t="s">
        <v>87</v>
      </c>
      <c r="D349" s="24" t="s">
        <v>489</v>
      </c>
      <c r="H349" s="18" t="s">
        <v>27</v>
      </c>
      <c r="J349" s="22"/>
      <c r="K349" s="22"/>
      <c r="L349" s="23"/>
      <c r="M349" s="23"/>
      <c r="N349" s="23"/>
      <c r="O349" s="17">
        <v>45434.0</v>
      </c>
    </row>
    <row r="350">
      <c r="A350" s="16">
        <f t="shared" si="1"/>
        <v>349</v>
      </c>
      <c r="B350" s="17">
        <v>45369.0</v>
      </c>
      <c r="C350" s="18" t="s">
        <v>490</v>
      </c>
      <c r="D350" s="24" t="s">
        <v>491</v>
      </c>
      <c r="H350" s="40" t="s">
        <v>71</v>
      </c>
      <c r="J350" s="22"/>
      <c r="K350" s="22"/>
      <c r="L350" s="23"/>
      <c r="M350" s="23"/>
      <c r="N350" s="23"/>
      <c r="O350" s="23"/>
    </row>
    <row r="351">
      <c r="A351" s="16">
        <f t="shared" si="1"/>
        <v>350</v>
      </c>
      <c r="B351" s="17">
        <v>45369.0</v>
      </c>
      <c r="C351" s="18" t="s">
        <v>312</v>
      </c>
      <c r="D351" s="24" t="s">
        <v>492</v>
      </c>
      <c r="H351" s="33" t="s">
        <v>46</v>
      </c>
      <c r="J351" s="22"/>
      <c r="K351" s="22"/>
      <c r="L351" s="23"/>
      <c r="M351" s="23"/>
      <c r="N351" s="23"/>
      <c r="O351" s="23"/>
    </row>
    <row r="352">
      <c r="A352" s="16">
        <f t="shared" si="1"/>
        <v>351</v>
      </c>
      <c r="B352" s="17">
        <v>45369.0</v>
      </c>
      <c r="C352" s="18" t="s">
        <v>312</v>
      </c>
      <c r="D352" s="24" t="s">
        <v>493</v>
      </c>
      <c r="H352" s="18" t="s">
        <v>27</v>
      </c>
      <c r="J352" s="22"/>
      <c r="K352" s="22"/>
      <c r="L352" s="23"/>
      <c r="M352" s="23"/>
      <c r="N352" s="23"/>
      <c r="O352" s="23"/>
    </row>
    <row r="353">
      <c r="A353" s="16">
        <f t="shared" si="1"/>
        <v>352</v>
      </c>
      <c r="B353" s="17">
        <v>45369.0</v>
      </c>
      <c r="C353" s="18" t="s">
        <v>87</v>
      </c>
      <c r="D353" s="24" t="s">
        <v>494</v>
      </c>
      <c r="H353" s="18" t="s">
        <v>27</v>
      </c>
      <c r="J353" s="22"/>
      <c r="K353" s="22"/>
      <c r="L353" s="23"/>
      <c r="M353" s="23"/>
      <c r="N353" s="23"/>
      <c r="O353" s="52">
        <v>45376.0</v>
      </c>
    </row>
    <row r="354">
      <c r="A354" s="16">
        <f t="shared" si="1"/>
        <v>353</v>
      </c>
      <c r="B354" s="17">
        <v>45369.0</v>
      </c>
      <c r="C354" s="18" t="s">
        <v>312</v>
      </c>
      <c r="D354" s="24" t="s">
        <v>495</v>
      </c>
      <c r="H354" s="18" t="s">
        <v>27</v>
      </c>
      <c r="J354" s="22"/>
      <c r="K354" s="24" t="s">
        <v>496</v>
      </c>
      <c r="L354" s="23"/>
      <c r="M354" s="23"/>
      <c r="N354" s="23"/>
      <c r="O354" s="23"/>
    </row>
    <row r="355">
      <c r="A355" s="16">
        <f t="shared" si="1"/>
        <v>354</v>
      </c>
      <c r="B355" s="17">
        <v>45370.0</v>
      </c>
      <c r="C355" s="18" t="s">
        <v>110</v>
      </c>
      <c r="D355" s="24" t="s">
        <v>497</v>
      </c>
      <c r="H355" s="33" t="s">
        <v>46</v>
      </c>
      <c r="J355" s="22"/>
      <c r="K355" s="22"/>
      <c r="L355" s="23"/>
      <c r="M355" s="23"/>
      <c r="N355" s="23"/>
      <c r="O355" s="23"/>
    </row>
    <row r="356">
      <c r="A356" s="16">
        <f t="shared" si="1"/>
        <v>355</v>
      </c>
      <c r="B356" s="17">
        <v>45370.0</v>
      </c>
      <c r="C356" s="18" t="s">
        <v>110</v>
      </c>
      <c r="D356" s="24" t="s">
        <v>498</v>
      </c>
      <c r="H356" s="18" t="s">
        <v>27</v>
      </c>
      <c r="J356" s="22"/>
      <c r="K356" s="22"/>
      <c r="L356" s="23"/>
      <c r="M356" s="23"/>
      <c r="N356" s="23"/>
      <c r="O356" s="17">
        <v>45427.0</v>
      </c>
    </row>
    <row r="357">
      <c r="A357" s="16">
        <f t="shared" si="1"/>
        <v>356</v>
      </c>
      <c r="B357" s="17">
        <v>45370.0</v>
      </c>
      <c r="C357" s="18" t="s">
        <v>87</v>
      </c>
      <c r="D357" s="44" t="s">
        <v>499</v>
      </c>
      <c r="H357" s="33" t="s">
        <v>46</v>
      </c>
      <c r="J357" s="22"/>
      <c r="K357" s="22"/>
      <c r="L357" s="23"/>
      <c r="M357" s="23"/>
      <c r="N357" s="23"/>
      <c r="O357" s="23"/>
    </row>
    <row r="358">
      <c r="A358" s="16">
        <f t="shared" si="1"/>
        <v>357</v>
      </c>
      <c r="B358" s="17">
        <v>45371.0</v>
      </c>
      <c r="C358" s="18" t="s">
        <v>110</v>
      </c>
      <c r="D358" s="24" t="s">
        <v>500</v>
      </c>
      <c r="H358" s="40" t="s">
        <v>71</v>
      </c>
      <c r="J358" s="22"/>
      <c r="K358" s="22"/>
      <c r="L358" s="23"/>
      <c r="M358" s="23"/>
      <c r="N358" s="23"/>
      <c r="O358" s="23"/>
    </row>
    <row r="359">
      <c r="A359" s="16">
        <f t="shared" si="1"/>
        <v>358</v>
      </c>
      <c r="B359" s="17">
        <v>45372.0</v>
      </c>
      <c r="C359" s="18" t="s">
        <v>87</v>
      </c>
      <c r="D359" s="24" t="s">
        <v>501</v>
      </c>
      <c r="H359" s="33" t="s">
        <v>46</v>
      </c>
      <c r="J359" s="22"/>
      <c r="K359" s="22"/>
      <c r="L359" s="23"/>
      <c r="M359" s="23"/>
      <c r="N359" s="23"/>
      <c r="O359" s="23"/>
    </row>
    <row r="360">
      <c r="A360" s="16">
        <f t="shared" si="1"/>
        <v>359</v>
      </c>
      <c r="B360" s="17">
        <v>45373.0</v>
      </c>
      <c r="C360" s="18" t="s">
        <v>490</v>
      </c>
      <c r="D360" s="24" t="s">
        <v>502</v>
      </c>
      <c r="H360" s="40" t="s">
        <v>71</v>
      </c>
      <c r="J360" s="22"/>
      <c r="K360" s="22"/>
      <c r="L360" s="23"/>
      <c r="M360" s="23"/>
      <c r="N360" s="23"/>
      <c r="O360" s="26">
        <v>45392.0</v>
      </c>
    </row>
    <row r="361">
      <c r="A361" s="16">
        <f t="shared" si="1"/>
        <v>360</v>
      </c>
      <c r="B361" s="17">
        <v>45373.0</v>
      </c>
      <c r="C361" s="18" t="s">
        <v>87</v>
      </c>
      <c r="D361" s="24" t="s">
        <v>503</v>
      </c>
      <c r="H361" s="33" t="s">
        <v>71</v>
      </c>
      <c r="J361" s="22"/>
      <c r="K361" s="22"/>
      <c r="L361" s="23"/>
      <c r="M361" s="23"/>
      <c r="N361" s="23"/>
      <c r="O361" s="17">
        <v>45369.0</v>
      </c>
    </row>
    <row r="362">
      <c r="A362" s="16">
        <f t="shared" si="1"/>
        <v>361</v>
      </c>
      <c r="B362" s="17">
        <v>45373.0</v>
      </c>
      <c r="C362" s="18" t="s">
        <v>92</v>
      </c>
      <c r="D362" s="24" t="s">
        <v>504</v>
      </c>
      <c r="H362" s="33" t="s">
        <v>31</v>
      </c>
      <c r="J362" s="22"/>
      <c r="K362" s="24" t="s">
        <v>505</v>
      </c>
      <c r="L362" s="23"/>
      <c r="M362" s="23"/>
      <c r="N362" s="23"/>
      <c r="O362" s="23"/>
    </row>
    <row r="363">
      <c r="A363" s="16">
        <f t="shared" si="1"/>
        <v>362</v>
      </c>
      <c r="B363" s="17">
        <v>45376.0</v>
      </c>
      <c r="C363" s="18" t="s">
        <v>87</v>
      </c>
      <c r="D363" s="24" t="s">
        <v>506</v>
      </c>
      <c r="H363" s="18" t="s">
        <v>27</v>
      </c>
      <c r="J363" s="22"/>
      <c r="K363" s="22"/>
      <c r="L363" s="23"/>
      <c r="M363" s="23"/>
      <c r="N363" s="23"/>
      <c r="O363" s="23"/>
    </row>
    <row r="364">
      <c r="A364" s="16">
        <f t="shared" si="1"/>
        <v>363</v>
      </c>
      <c r="B364" s="17">
        <v>45377.0</v>
      </c>
      <c r="C364" s="18" t="s">
        <v>87</v>
      </c>
      <c r="D364" s="24" t="s">
        <v>507</v>
      </c>
      <c r="H364" s="40" t="s">
        <v>71</v>
      </c>
      <c r="J364" s="22"/>
      <c r="K364" s="22"/>
      <c r="L364" s="23"/>
      <c r="M364" s="23"/>
      <c r="N364" s="23"/>
      <c r="O364" s="23"/>
    </row>
    <row r="365">
      <c r="A365" s="16">
        <f t="shared" si="1"/>
        <v>364</v>
      </c>
      <c r="B365" s="17">
        <v>45377.0</v>
      </c>
      <c r="C365" s="18" t="s">
        <v>87</v>
      </c>
      <c r="D365" s="24" t="s">
        <v>508</v>
      </c>
      <c r="H365" s="33" t="s">
        <v>27</v>
      </c>
      <c r="J365" s="22"/>
      <c r="K365" s="22"/>
      <c r="L365" s="23"/>
      <c r="M365" s="23"/>
      <c r="N365" s="23"/>
      <c r="O365" s="17">
        <v>45369.0</v>
      </c>
    </row>
    <row r="366">
      <c r="A366" s="16">
        <f t="shared" si="1"/>
        <v>365</v>
      </c>
      <c r="B366" s="17">
        <v>45379.0</v>
      </c>
      <c r="C366" s="18" t="s">
        <v>87</v>
      </c>
      <c r="D366" s="24" t="s">
        <v>509</v>
      </c>
      <c r="H366" s="33" t="s">
        <v>71</v>
      </c>
      <c r="J366" s="22"/>
      <c r="K366" s="22"/>
      <c r="L366" s="23"/>
      <c r="M366" s="23"/>
      <c r="N366" s="23"/>
      <c r="O366" s="23"/>
    </row>
    <row r="367">
      <c r="A367" s="16">
        <f t="shared" si="1"/>
        <v>366</v>
      </c>
      <c r="B367" s="17">
        <v>45380.0</v>
      </c>
      <c r="C367" s="18" t="s">
        <v>87</v>
      </c>
      <c r="D367" s="24" t="s">
        <v>510</v>
      </c>
      <c r="H367" s="18" t="s">
        <v>27</v>
      </c>
      <c r="J367" s="22"/>
      <c r="K367" s="22"/>
      <c r="L367" s="23"/>
      <c r="M367" s="23"/>
      <c r="N367" s="23"/>
      <c r="O367" s="23"/>
    </row>
    <row r="368">
      <c r="A368" s="16">
        <f t="shared" si="1"/>
        <v>367</v>
      </c>
      <c r="B368" s="17">
        <v>45380.0</v>
      </c>
      <c r="C368" s="18" t="s">
        <v>87</v>
      </c>
      <c r="D368" s="24" t="s">
        <v>511</v>
      </c>
      <c r="H368" s="40" t="s">
        <v>71</v>
      </c>
      <c r="J368" s="22"/>
      <c r="K368" s="22"/>
      <c r="L368" s="23"/>
      <c r="M368" s="23"/>
      <c r="N368" s="23"/>
      <c r="O368" s="23"/>
    </row>
    <row r="369">
      <c r="A369" s="16">
        <f t="shared" si="1"/>
        <v>368</v>
      </c>
      <c r="B369" s="17">
        <v>45383.0</v>
      </c>
      <c r="C369" s="18" t="s">
        <v>92</v>
      </c>
      <c r="D369" s="24" t="s">
        <v>512</v>
      </c>
      <c r="H369" s="33" t="s">
        <v>46</v>
      </c>
      <c r="J369" s="22"/>
      <c r="K369" s="22"/>
      <c r="L369" s="23"/>
      <c r="M369" s="23"/>
      <c r="N369" s="23"/>
      <c r="O369" s="23"/>
    </row>
    <row r="370">
      <c r="A370" s="16">
        <f t="shared" si="1"/>
        <v>369</v>
      </c>
      <c r="B370" s="17">
        <v>45383.0</v>
      </c>
      <c r="C370" s="18" t="s">
        <v>110</v>
      </c>
      <c r="D370" s="24" t="s">
        <v>513</v>
      </c>
      <c r="H370" s="33" t="s">
        <v>46</v>
      </c>
      <c r="J370" s="22"/>
      <c r="K370" s="22"/>
      <c r="L370" s="23"/>
      <c r="M370" s="23"/>
      <c r="N370" s="23"/>
      <c r="O370" s="23"/>
    </row>
    <row r="371">
      <c r="A371" s="16">
        <f t="shared" si="1"/>
        <v>370</v>
      </c>
      <c r="B371" s="17">
        <v>45383.0</v>
      </c>
      <c r="C371" s="18" t="s">
        <v>110</v>
      </c>
      <c r="D371" s="24" t="s">
        <v>514</v>
      </c>
      <c r="H371" s="18" t="s">
        <v>27</v>
      </c>
      <c r="J371" s="22"/>
      <c r="K371" s="22"/>
      <c r="L371" s="23"/>
      <c r="M371" s="23"/>
      <c r="N371" s="23"/>
      <c r="O371" s="52">
        <v>45406.0</v>
      </c>
    </row>
    <row r="372">
      <c r="A372" s="16">
        <f t="shared" si="1"/>
        <v>371</v>
      </c>
      <c r="B372" s="17">
        <v>45383.0</v>
      </c>
      <c r="C372" s="18" t="s">
        <v>87</v>
      </c>
      <c r="D372" s="24" t="s">
        <v>515</v>
      </c>
      <c r="H372" s="18" t="s">
        <v>27</v>
      </c>
      <c r="J372" s="22"/>
      <c r="K372" s="22"/>
      <c r="L372" s="23"/>
      <c r="M372" s="23"/>
      <c r="N372" s="23"/>
      <c r="O372" s="23"/>
    </row>
    <row r="373">
      <c r="A373" s="16">
        <f t="shared" si="1"/>
        <v>372</v>
      </c>
      <c r="B373" s="17">
        <v>45390.0</v>
      </c>
      <c r="C373" s="18" t="s">
        <v>87</v>
      </c>
      <c r="D373" s="24" t="s">
        <v>516</v>
      </c>
      <c r="H373" s="33" t="s">
        <v>71</v>
      </c>
      <c r="J373" s="22"/>
      <c r="K373" s="22"/>
      <c r="L373" s="23"/>
      <c r="M373" s="23"/>
      <c r="N373" s="23"/>
      <c r="O373" s="23"/>
    </row>
    <row r="374">
      <c r="A374" s="16">
        <f t="shared" si="1"/>
        <v>373</v>
      </c>
      <c r="B374" s="17">
        <v>45390.0</v>
      </c>
      <c r="C374" s="18" t="s">
        <v>110</v>
      </c>
      <c r="D374" s="24" t="s">
        <v>517</v>
      </c>
      <c r="H374" s="18" t="s">
        <v>27</v>
      </c>
      <c r="J374" s="22"/>
      <c r="K374" s="22"/>
      <c r="L374" s="23"/>
      <c r="M374" s="23"/>
      <c r="N374" s="23"/>
      <c r="O374" s="23"/>
    </row>
    <row r="375">
      <c r="A375" s="16">
        <f t="shared" si="1"/>
        <v>374</v>
      </c>
      <c r="B375" s="17">
        <v>45390.0</v>
      </c>
      <c r="C375" s="18" t="s">
        <v>110</v>
      </c>
      <c r="D375" s="27" t="s">
        <v>518</v>
      </c>
      <c r="H375" s="33" t="s">
        <v>46</v>
      </c>
      <c r="J375" s="22"/>
      <c r="K375" s="22"/>
      <c r="L375" s="23"/>
      <c r="M375" s="23"/>
      <c r="N375" s="23"/>
      <c r="O375" s="52">
        <v>45406.0</v>
      </c>
    </row>
    <row r="376">
      <c r="A376" s="16">
        <f t="shared" si="1"/>
        <v>375</v>
      </c>
      <c r="B376" s="17">
        <v>45390.0</v>
      </c>
      <c r="C376" s="18" t="s">
        <v>110</v>
      </c>
      <c r="D376" s="24" t="s">
        <v>519</v>
      </c>
      <c r="H376" s="18" t="s">
        <v>27</v>
      </c>
      <c r="J376" s="22"/>
      <c r="K376" s="22"/>
      <c r="L376" s="23"/>
      <c r="M376" s="23"/>
      <c r="N376" s="23"/>
      <c r="O376" s="17">
        <v>45434.0</v>
      </c>
    </row>
    <row r="377">
      <c r="A377" s="16">
        <f t="shared" si="1"/>
        <v>376</v>
      </c>
      <c r="B377" s="17">
        <v>45390.0</v>
      </c>
      <c r="C377" s="18" t="s">
        <v>92</v>
      </c>
      <c r="D377" s="24" t="s">
        <v>520</v>
      </c>
      <c r="H377" s="40" t="s">
        <v>31</v>
      </c>
      <c r="J377" s="22"/>
      <c r="K377" s="22"/>
      <c r="L377" s="23"/>
      <c r="M377" s="23"/>
      <c r="N377" s="23"/>
      <c r="O377" s="52">
        <v>45406.0</v>
      </c>
    </row>
    <row r="378">
      <c r="A378" s="16">
        <f t="shared" si="1"/>
        <v>377</v>
      </c>
      <c r="B378" s="26">
        <v>45391.0</v>
      </c>
      <c r="C378" s="18" t="s">
        <v>87</v>
      </c>
      <c r="D378" s="24" t="s">
        <v>521</v>
      </c>
      <c r="H378" s="18" t="s">
        <v>27</v>
      </c>
      <c r="J378" s="22"/>
      <c r="K378" s="22"/>
      <c r="L378" s="23"/>
      <c r="M378" s="23"/>
      <c r="N378" s="23"/>
      <c r="O378" s="52">
        <v>45406.0</v>
      </c>
    </row>
    <row r="379">
      <c r="A379" s="16">
        <f t="shared" si="1"/>
        <v>378</v>
      </c>
      <c r="B379" s="26">
        <v>45392.0</v>
      </c>
      <c r="C379" s="18" t="s">
        <v>87</v>
      </c>
      <c r="D379" s="27" t="s">
        <v>522</v>
      </c>
      <c r="H379" s="18" t="s">
        <v>27</v>
      </c>
      <c r="J379" s="22"/>
      <c r="K379" s="22"/>
      <c r="L379" s="23"/>
      <c r="M379" s="23"/>
      <c r="N379" s="23"/>
      <c r="O379" s="23"/>
    </row>
    <row r="380">
      <c r="A380" s="16">
        <f t="shared" si="1"/>
        <v>379</v>
      </c>
      <c r="B380" s="17">
        <v>45384.0</v>
      </c>
      <c r="C380" s="18" t="s">
        <v>87</v>
      </c>
      <c r="D380" s="24" t="s">
        <v>523</v>
      </c>
      <c r="H380" s="33" t="s">
        <v>71</v>
      </c>
      <c r="J380" s="22"/>
      <c r="K380" s="22"/>
      <c r="L380" s="23"/>
      <c r="M380" s="23"/>
      <c r="N380" s="23"/>
      <c r="O380" s="23"/>
    </row>
    <row r="381">
      <c r="A381" s="16">
        <f t="shared" si="1"/>
        <v>380</v>
      </c>
      <c r="B381" s="26">
        <v>45394.0</v>
      </c>
      <c r="C381" s="18" t="s">
        <v>87</v>
      </c>
      <c r="D381" s="53" t="s">
        <v>524</v>
      </c>
      <c r="H381" s="33" t="s">
        <v>71</v>
      </c>
      <c r="J381" s="22"/>
      <c r="K381" s="22"/>
      <c r="L381" s="23"/>
      <c r="M381" s="23"/>
      <c r="N381" s="23"/>
      <c r="O381" s="23"/>
    </row>
    <row r="382">
      <c r="A382" s="16">
        <f t="shared" si="1"/>
        <v>381</v>
      </c>
      <c r="B382" s="26">
        <v>45394.0</v>
      </c>
      <c r="C382" s="18" t="s">
        <v>147</v>
      </c>
      <c r="D382" s="24" t="s">
        <v>525</v>
      </c>
      <c r="H382" s="33" t="s">
        <v>298</v>
      </c>
      <c r="J382" s="22"/>
      <c r="K382" s="22"/>
      <c r="L382" s="23"/>
      <c r="M382" s="23"/>
      <c r="N382" s="23"/>
      <c r="O382" s="23"/>
    </row>
    <row r="383">
      <c r="A383" s="16">
        <f t="shared" si="1"/>
        <v>382</v>
      </c>
      <c r="B383" s="26">
        <v>45394.0</v>
      </c>
      <c r="C383" s="18" t="s">
        <v>87</v>
      </c>
      <c r="D383" s="54" t="s">
        <v>526</v>
      </c>
      <c r="H383" s="40" t="s">
        <v>23</v>
      </c>
      <c r="J383" s="22"/>
      <c r="K383" s="24" t="s">
        <v>527</v>
      </c>
      <c r="L383" s="23"/>
      <c r="M383" s="23"/>
      <c r="N383" s="23"/>
      <c r="O383" s="23"/>
    </row>
    <row r="384">
      <c r="A384" s="16">
        <f t="shared" si="1"/>
        <v>383</v>
      </c>
      <c r="B384" s="26">
        <v>45394.0</v>
      </c>
      <c r="C384" s="18" t="s">
        <v>87</v>
      </c>
      <c r="D384" s="54" t="s">
        <v>528</v>
      </c>
      <c r="H384" s="40" t="s">
        <v>71</v>
      </c>
      <c r="J384" s="22"/>
      <c r="K384" s="22"/>
      <c r="L384" s="23"/>
      <c r="M384" s="23"/>
      <c r="N384" s="23"/>
      <c r="O384" s="23"/>
    </row>
    <row r="385">
      <c r="A385" s="16">
        <f t="shared" si="1"/>
        <v>384</v>
      </c>
      <c r="B385" s="17">
        <v>45390.0</v>
      </c>
      <c r="C385" s="18" t="s">
        <v>87</v>
      </c>
      <c r="D385" s="18" t="s">
        <v>529</v>
      </c>
      <c r="H385" s="40" t="s">
        <v>71</v>
      </c>
      <c r="J385" s="22"/>
      <c r="K385" s="24" t="s">
        <v>530</v>
      </c>
      <c r="L385" s="23"/>
      <c r="M385" s="23"/>
      <c r="N385" s="23"/>
      <c r="O385" s="52">
        <v>45406.0</v>
      </c>
    </row>
    <row r="386">
      <c r="A386" s="16">
        <f t="shared" si="1"/>
        <v>385</v>
      </c>
      <c r="B386" s="26">
        <v>45397.0</v>
      </c>
      <c r="C386" s="18" t="s">
        <v>110</v>
      </c>
      <c r="D386" s="24" t="s">
        <v>531</v>
      </c>
      <c r="H386" s="18" t="s">
        <v>27</v>
      </c>
      <c r="J386" s="22"/>
      <c r="K386" s="22"/>
      <c r="L386" s="23"/>
      <c r="M386" s="23"/>
      <c r="N386" s="23"/>
      <c r="O386" s="23"/>
    </row>
    <row r="387">
      <c r="A387" s="16">
        <f t="shared" si="1"/>
        <v>386</v>
      </c>
      <c r="B387" s="26">
        <v>45397.0</v>
      </c>
      <c r="C387" s="18" t="s">
        <v>110</v>
      </c>
      <c r="D387" s="24" t="s">
        <v>532</v>
      </c>
      <c r="H387" s="47" t="s">
        <v>348</v>
      </c>
      <c r="J387" s="22"/>
      <c r="K387" s="22"/>
      <c r="L387" s="23"/>
      <c r="M387" s="23"/>
      <c r="N387" s="23"/>
      <c r="O387" s="23"/>
    </row>
    <row r="388">
      <c r="A388" s="16">
        <f t="shared" si="1"/>
        <v>387</v>
      </c>
      <c r="B388" s="26">
        <v>45397.0</v>
      </c>
      <c r="C388" s="18" t="s">
        <v>110</v>
      </c>
      <c r="D388" s="24" t="s">
        <v>533</v>
      </c>
      <c r="J388" s="22"/>
      <c r="K388" s="22"/>
      <c r="L388" s="23"/>
      <c r="M388" s="23"/>
      <c r="N388" s="23"/>
      <c r="O388" s="23"/>
    </row>
    <row r="389">
      <c r="A389" s="16">
        <f t="shared" si="1"/>
        <v>388</v>
      </c>
      <c r="B389" s="26">
        <v>45397.0</v>
      </c>
      <c r="C389" s="18" t="s">
        <v>87</v>
      </c>
      <c r="D389" s="24" t="s">
        <v>534</v>
      </c>
      <c r="H389" s="18" t="s">
        <v>27</v>
      </c>
      <c r="J389" s="22"/>
      <c r="K389" s="22"/>
      <c r="L389" s="23"/>
      <c r="M389" s="23"/>
      <c r="N389" s="23"/>
      <c r="O389" s="52">
        <v>45406.0</v>
      </c>
    </row>
    <row r="390">
      <c r="A390" s="16">
        <f t="shared" si="1"/>
        <v>389</v>
      </c>
      <c r="B390" s="26">
        <v>45398.0</v>
      </c>
      <c r="C390" s="18" t="s">
        <v>110</v>
      </c>
      <c r="D390" s="24" t="s">
        <v>535</v>
      </c>
      <c r="H390" s="18" t="s">
        <v>27</v>
      </c>
      <c r="J390" s="22"/>
      <c r="K390" s="22"/>
      <c r="L390" s="23"/>
      <c r="M390" s="23"/>
      <c r="N390" s="23"/>
      <c r="O390" s="23"/>
    </row>
    <row r="391">
      <c r="A391" s="16">
        <f t="shared" si="1"/>
        <v>390</v>
      </c>
      <c r="B391" s="26">
        <v>45398.0</v>
      </c>
      <c r="C391" s="18" t="s">
        <v>110</v>
      </c>
      <c r="D391" s="24" t="s">
        <v>536</v>
      </c>
      <c r="H391" s="18" t="s">
        <v>27</v>
      </c>
      <c r="J391" s="22"/>
      <c r="K391" s="22"/>
      <c r="L391" s="23"/>
      <c r="M391" s="23"/>
      <c r="N391" s="23"/>
      <c r="O391" s="23"/>
    </row>
    <row r="392">
      <c r="A392" s="16">
        <f t="shared" si="1"/>
        <v>391</v>
      </c>
      <c r="B392" s="17">
        <v>45399.0</v>
      </c>
      <c r="C392" s="18" t="s">
        <v>147</v>
      </c>
      <c r="D392" s="24" t="s">
        <v>537</v>
      </c>
      <c r="H392" s="55" t="s">
        <v>27</v>
      </c>
      <c r="J392" s="22"/>
      <c r="K392" s="22"/>
      <c r="L392" s="23"/>
      <c r="M392" s="23"/>
      <c r="N392" s="23"/>
      <c r="O392" s="23"/>
    </row>
    <row r="393">
      <c r="A393" s="16">
        <f t="shared" si="1"/>
        <v>392</v>
      </c>
      <c r="B393" s="17">
        <v>45400.0</v>
      </c>
      <c r="C393" s="18" t="s">
        <v>87</v>
      </c>
      <c r="D393" s="18" t="s">
        <v>538</v>
      </c>
      <c r="H393" s="33" t="s">
        <v>46</v>
      </c>
      <c r="J393" s="22"/>
      <c r="K393" s="24" t="s">
        <v>539</v>
      </c>
      <c r="L393" s="23"/>
      <c r="M393" s="23"/>
      <c r="N393" s="23"/>
      <c r="O393" s="23"/>
    </row>
    <row r="394">
      <c r="A394" s="16">
        <f t="shared" si="1"/>
        <v>393</v>
      </c>
      <c r="B394" s="17">
        <v>45400.0</v>
      </c>
      <c r="C394" s="18" t="s">
        <v>110</v>
      </c>
      <c r="D394" s="24" t="s">
        <v>540</v>
      </c>
      <c r="H394" s="18" t="s">
        <v>27</v>
      </c>
      <c r="J394" s="22"/>
      <c r="K394" s="22"/>
      <c r="L394" s="23"/>
      <c r="M394" s="23"/>
      <c r="N394" s="23"/>
      <c r="O394" s="26">
        <v>45476.0</v>
      </c>
    </row>
    <row r="395">
      <c r="A395" s="16">
        <f t="shared" si="1"/>
        <v>394</v>
      </c>
      <c r="B395" s="17">
        <v>45400.0</v>
      </c>
      <c r="C395" s="18" t="s">
        <v>87</v>
      </c>
      <c r="D395" s="24" t="s">
        <v>541</v>
      </c>
      <c r="H395" s="33" t="s">
        <v>23</v>
      </c>
      <c r="J395" s="22"/>
      <c r="K395" s="24" t="s">
        <v>542</v>
      </c>
      <c r="L395" s="23"/>
      <c r="M395" s="23"/>
      <c r="N395" s="23"/>
      <c r="O395" s="23"/>
    </row>
    <row r="396">
      <c r="A396" s="16">
        <f t="shared" si="1"/>
        <v>395</v>
      </c>
      <c r="B396" s="17">
        <v>45400.0</v>
      </c>
      <c r="C396" s="18" t="s">
        <v>110</v>
      </c>
      <c r="D396" s="24" t="s">
        <v>543</v>
      </c>
      <c r="H396" s="33" t="s">
        <v>71</v>
      </c>
      <c r="J396" s="22"/>
      <c r="K396" s="22"/>
      <c r="L396" s="23"/>
      <c r="M396" s="23"/>
      <c r="N396" s="23"/>
      <c r="O396" s="17">
        <v>45420.0</v>
      </c>
    </row>
    <row r="397">
      <c r="A397" s="16">
        <f t="shared" si="1"/>
        <v>396</v>
      </c>
      <c r="B397" s="17">
        <v>45400.0</v>
      </c>
      <c r="C397" s="18" t="s">
        <v>87</v>
      </c>
      <c r="D397" s="24" t="s">
        <v>544</v>
      </c>
      <c r="H397" s="33" t="s">
        <v>298</v>
      </c>
      <c r="J397" s="22"/>
      <c r="K397" s="24" t="s">
        <v>545</v>
      </c>
      <c r="L397" s="23"/>
      <c r="M397" s="23"/>
      <c r="N397" s="23"/>
      <c r="O397" s="23"/>
    </row>
    <row r="398">
      <c r="A398" s="16">
        <f t="shared" si="1"/>
        <v>397</v>
      </c>
      <c r="B398" s="17">
        <v>45406.0</v>
      </c>
      <c r="C398" s="18" t="s">
        <v>92</v>
      </c>
      <c r="D398" s="24"/>
      <c r="H398" s="33" t="s">
        <v>23</v>
      </c>
      <c r="J398" s="22"/>
      <c r="K398" s="22"/>
      <c r="L398" s="23"/>
      <c r="M398" s="23"/>
      <c r="N398" s="23"/>
      <c r="O398" s="23"/>
    </row>
    <row r="399">
      <c r="A399" s="16">
        <f t="shared" si="1"/>
        <v>398</v>
      </c>
      <c r="B399" s="17">
        <v>45406.0</v>
      </c>
      <c r="C399" s="18" t="s">
        <v>87</v>
      </c>
      <c r="D399" s="24" t="s">
        <v>546</v>
      </c>
      <c r="H399" s="40" t="s">
        <v>71</v>
      </c>
      <c r="J399" s="22"/>
      <c r="K399" s="22"/>
      <c r="L399" s="23"/>
      <c r="M399" s="23"/>
      <c r="N399" s="23"/>
      <c r="O399" s="17">
        <v>45457.0</v>
      </c>
    </row>
    <row r="400">
      <c r="A400" s="16">
        <f t="shared" si="1"/>
        <v>399</v>
      </c>
      <c r="B400" s="17">
        <v>45406.0</v>
      </c>
      <c r="C400" s="18" t="s">
        <v>110</v>
      </c>
      <c r="D400" s="24" t="s">
        <v>547</v>
      </c>
      <c r="H400" s="40" t="s">
        <v>71</v>
      </c>
      <c r="J400" s="22"/>
      <c r="K400" s="22"/>
      <c r="L400" s="23"/>
      <c r="M400" s="23"/>
      <c r="N400" s="23"/>
      <c r="O400" s="17">
        <v>6707506.0</v>
      </c>
    </row>
    <row r="401">
      <c r="A401" s="16">
        <f t="shared" si="1"/>
        <v>400</v>
      </c>
      <c r="B401" s="17">
        <v>45407.0</v>
      </c>
      <c r="C401" s="18" t="s">
        <v>87</v>
      </c>
      <c r="D401" s="24" t="s">
        <v>548</v>
      </c>
      <c r="H401" s="33" t="s">
        <v>71</v>
      </c>
      <c r="J401" s="22"/>
      <c r="K401" s="22"/>
      <c r="L401" s="23"/>
      <c r="M401" s="23"/>
      <c r="N401" s="23"/>
      <c r="O401" s="17">
        <v>45462.0</v>
      </c>
    </row>
    <row r="402">
      <c r="A402" s="16">
        <f t="shared" si="1"/>
        <v>401</v>
      </c>
      <c r="B402" s="17">
        <v>45407.0</v>
      </c>
      <c r="C402" s="18" t="s">
        <v>312</v>
      </c>
      <c r="D402" s="24" t="s">
        <v>549</v>
      </c>
      <c r="H402" s="40" t="s">
        <v>31</v>
      </c>
      <c r="J402" s="22"/>
      <c r="K402" s="22"/>
      <c r="L402" s="23"/>
      <c r="M402" s="23"/>
      <c r="N402" s="23"/>
      <c r="O402" s="17">
        <v>45434.0</v>
      </c>
    </row>
    <row r="403">
      <c r="A403" s="16">
        <f t="shared" si="1"/>
        <v>402</v>
      </c>
      <c r="B403" s="17">
        <v>45408.0</v>
      </c>
      <c r="C403" s="18" t="s">
        <v>110</v>
      </c>
      <c r="D403" s="24" t="s">
        <v>550</v>
      </c>
      <c r="H403" s="33" t="s">
        <v>46</v>
      </c>
      <c r="J403" s="22"/>
      <c r="K403" s="22"/>
      <c r="L403" s="23"/>
      <c r="M403" s="23"/>
      <c r="N403" s="23"/>
      <c r="O403" s="23"/>
    </row>
    <row r="404">
      <c r="A404" s="16">
        <f t="shared" si="1"/>
        <v>403</v>
      </c>
      <c r="B404" s="17">
        <v>45408.0</v>
      </c>
      <c r="C404" s="18" t="s">
        <v>110</v>
      </c>
      <c r="D404" s="46" t="s">
        <v>551</v>
      </c>
      <c r="H404" s="40" t="s">
        <v>23</v>
      </c>
      <c r="J404" s="22"/>
      <c r="K404" s="24" t="s">
        <v>552</v>
      </c>
      <c r="L404" s="23"/>
      <c r="M404" s="23"/>
      <c r="N404" s="23"/>
      <c r="O404" s="23"/>
    </row>
    <row r="405">
      <c r="A405" s="16">
        <f t="shared" si="1"/>
        <v>404</v>
      </c>
      <c r="B405" s="17">
        <v>45408.0</v>
      </c>
      <c r="C405" s="18" t="s">
        <v>87</v>
      </c>
      <c r="D405" s="24" t="s">
        <v>553</v>
      </c>
      <c r="H405" s="40" t="s">
        <v>71</v>
      </c>
      <c r="J405" s="22"/>
      <c r="K405" s="22"/>
      <c r="L405" s="23"/>
      <c r="M405" s="23"/>
      <c r="N405" s="23"/>
      <c r="O405" s="17">
        <v>45427.0</v>
      </c>
    </row>
    <row r="406">
      <c r="A406" s="16">
        <f t="shared" si="1"/>
        <v>405</v>
      </c>
      <c r="B406" s="17">
        <v>45411.0</v>
      </c>
      <c r="C406" s="18" t="s">
        <v>110</v>
      </c>
      <c r="D406" s="18" t="s">
        <v>554</v>
      </c>
      <c r="H406" s="18" t="s">
        <v>27</v>
      </c>
      <c r="J406" s="22"/>
      <c r="K406" s="22"/>
      <c r="L406" s="23"/>
      <c r="M406" s="23"/>
      <c r="N406" s="23"/>
      <c r="O406" s="17">
        <v>45427.0</v>
      </c>
    </row>
    <row r="407">
      <c r="A407" s="16">
        <f t="shared" si="1"/>
        <v>406</v>
      </c>
      <c r="B407" s="17">
        <v>45411.0</v>
      </c>
      <c r="C407" s="18" t="s">
        <v>110</v>
      </c>
      <c r="D407" s="18" t="s">
        <v>555</v>
      </c>
      <c r="H407" s="18" t="s">
        <v>27</v>
      </c>
      <c r="J407" s="22"/>
      <c r="K407" s="24" t="s">
        <v>556</v>
      </c>
      <c r="L407" s="23"/>
      <c r="M407" s="23"/>
      <c r="N407" s="23"/>
      <c r="O407" s="23"/>
    </row>
    <row r="408">
      <c r="A408" s="16">
        <f t="shared" si="1"/>
        <v>407</v>
      </c>
      <c r="B408" s="17">
        <v>45411.0</v>
      </c>
      <c r="C408" s="18" t="s">
        <v>92</v>
      </c>
      <c r="D408" s="24" t="s">
        <v>557</v>
      </c>
      <c r="H408" s="40" t="s">
        <v>31</v>
      </c>
      <c r="J408" s="22"/>
      <c r="K408" s="22"/>
      <c r="L408" s="23"/>
      <c r="M408" s="23"/>
      <c r="N408" s="23"/>
      <c r="O408" s="17">
        <v>45463.0</v>
      </c>
    </row>
    <row r="409">
      <c r="A409" s="16">
        <f t="shared" si="1"/>
        <v>408</v>
      </c>
      <c r="B409" s="17">
        <v>45411.0</v>
      </c>
      <c r="C409" s="18" t="s">
        <v>110</v>
      </c>
      <c r="D409" s="24" t="s">
        <v>558</v>
      </c>
      <c r="H409" s="40" t="s">
        <v>23</v>
      </c>
      <c r="J409" s="22"/>
      <c r="K409" s="22"/>
      <c r="L409" s="23"/>
      <c r="M409" s="23"/>
      <c r="N409" s="23"/>
      <c r="O409" s="23"/>
    </row>
    <row r="410">
      <c r="A410" s="16">
        <f t="shared" si="1"/>
        <v>409</v>
      </c>
      <c r="B410" s="17">
        <v>45411.0</v>
      </c>
      <c r="C410" s="18" t="s">
        <v>87</v>
      </c>
      <c r="D410" s="24" t="s">
        <v>559</v>
      </c>
      <c r="H410" s="40" t="s">
        <v>71</v>
      </c>
      <c r="J410" s="22"/>
      <c r="K410" s="22"/>
      <c r="L410" s="23"/>
      <c r="M410" s="23"/>
      <c r="N410" s="23"/>
      <c r="O410" s="26">
        <v>45420.0</v>
      </c>
    </row>
    <row r="411">
      <c r="A411" s="16">
        <f t="shared" si="1"/>
        <v>410</v>
      </c>
      <c r="B411" s="17">
        <v>45411.0</v>
      </c>
      <c r="C411" s="18" t="s">
        <v>87</v>
      </c>
      <c r="D411" s="24" t="s">
        <v>560</v>
      </c>
      <c r="H411" s="40" t="s">
        <v>71</v>
      </c>
      <c r="J411" s="22"/>
      <c r="K411" s="22"/>
      <c r="L411" s="23"/>
      <c r="M411" s="23"/>
      <c r="N411" s="23"/>
      <c r="O411" s="26">
        <v>45420.0</v>
      </c>
    </row>
    <row r="412">
      <c r="A412" s="16">
        <f t="shared" si="1"/>
        <v>411</v>
      </c>
      <c r="B412" s="17">
        <v>45411.0</v>
      </c>
      <c r="C412" s="18" t="s">
        <v>87</v>
      </c>
      <c r="D412" s="24" t="s">
        <v>561</v>
      </c>
      <c r="H412" s="40" t="s">
        <v>71</v>
      </c>
      <c r="J412" s="22"/>
      <c r="K412" s="22"/>
      <c r="L412" s="23"/>
      <c r="M412" s="23"/>
      <c r="N412" s="23"/>
      <c r="O412" s="23"/>
    </row>
    <row r="413">
      <c r="A413" s="16">
        <f t="shared" si="1"/>
        <v>412</v>
      </c>
      <c r="B413" s="17">
        <v>45411.0</v>
      </c>
      <c r="C413" s="18" t="s">
        <v>87</v>
      </c>
      <c r="D413" s="24" t="s">
        <v>562</v>
      </c>
      <c r="H413" s="40" t="s">
        <v>71</v>
      </c>
      <c r="J413" s="22"/>
      <c r="K413" s="22"/>
      <c r="L413" s="23"/>
      <c r="M413" s="23"/>
      <c r="N413" s="23"/>
      <c r="O413" s="26">
        <v>45420.0</v>
      </c>
    </row>
    <row r="414">
      <c r="A414" s="16">
        <f t="shared" si="1"/>
        <v>413</v>
      </c>
      <c r="B414" s="17">
        <v>45415.0</v>
      </c>
      <c r="C414" s="18" t="s">
        <v>312</v>
      </c>
      <c r="D414" s="24" t="s">
        <v>563</v>
      </c>
      <c r="H414" s="18" t="s">
        <v>27</v>
      </c>
      <c r="J414" s="22"/>
      <c r="K414" s="22"/>
      <c r="L414" s="23"/>
      <c r="M414" s="23"/>
      <c r="N414" s="23"/>
      <c r="O414" s="17">
        <v>45434.0</v>
      </c>
    </row>
    <row r="415">
      <c r="A415" s="16">
        <f t="shared" si="1"/>
        <v>414</v>
      </c>
      <c r="B415" s="17">
        <v>45415.0</v>
      </c>
      <c r="C415" s="18" t="s">
        <v>110</v>
      </c>
      <c r="D415" s="56" t="s">
        <v>564</v>
      </c>
      <c r="H415" s="18" t="s">
        <v>27</v>
      </c>
      <c r="J415" s="22"/>
      <c r="K415" s="22"/>
      <c r="L415" s="23"/>
      <c r="M415" s="23"/>
      <c r="N415" s="23"/>
      <c r="O415" s="23"/>
    </row>
    <row r="416">
      <c r="A416" s="16">
        <f t="shared" si="1"/>
        <v>415</v>
      </c>
      <c r="B416" s="17">
        <v>45415.0</v>
      </c>
      <c r="C416" s="34" t="s">
        <v>110</v>
      </c>
      <c r="D416" s="24" t="s">
        <v>565</v>
      </c>
      <c r="H416" s="47" t="s">
        <v>348</v>
      </c>
      <c r="J416" s="22"/>
      <c r="K416" s="22"/>
      <c r="L416" s="23"/>
      <c r="M416" s="23"/>
      <c r="N416" s="23"/>
      <c r="O416" s="23"/>
    </row>
    <row r="417">
      <c r="A417" s="16">
        <f t="shared" si="1"/>
        <v>416</v>
      </c>
      <c r="B417" s="17">
        <v>45415.0</v>
      </c>
      <c r="C417" s="34" t="s">
        <v>110</v>
      </c>
      <c r="D417" s="24" t="s">
        <v>566</v>
      </c>
      <c r="H417" s="47" t="s">
        <v>348</v>
      </c>
      <c r="J417" s="22"/>
      <c r="K417" s="24"/>
      <c r="L417" s="23"/>
      <c r="M417" s="23"/>
      <c r="N417" s="23"/>
      <c r="O417" s="23"/>
    </row>
    <row r="418">
      <c r="A418" s="16">
        <f t="shared" si="1"/>
        <v>417</v>
      </c>
      <c r="B418" s="17">
        <v>45418.0</v>
      </c>
      <c r="C418" s="18" t="s">
        <v>110</v>
      </c>
      <c r="D418" s="24" t="s">
        <v>567</v>
      </c>
      <c r="H418" s="40" t="s">
        <v>27</v>
      </c>
      <c r="J418" s="22"/>
      <c r="K418" s="22"/>
      <c r="L418" s="23"/>
      <c r="M418" s="23"/>
      <c r="N418" s="23"/>
      <c r="O418" s="23"/>
    </row>
    <row r="419">
      <c r="A419" s="16">
        <f t="shared" si="1"/>
        <v>418</v>
      </c>
      <c r="B419" s="17">
        <v>45418.0</v>
      </c>
      <c r="C419" s="18" t="s">
        <v>110</v>
      </c>
      <c r="D419" s="24" t="s">
        <v>568</v>
      </c>
      <c r="H419" s="18" t="s">
        <v>27</v>
      </c>
      <c r="J419" s="22"/>
      <c r="K419" s="24" t="s">
        <v>569</v>
      </c>
      <c r="L419" s="23"/>
      <c r="M419" s="23"/>
      <c r="N419" s="23"/>
      <c r="O419" s="17">
        <v>45434.0</v>
      </c>
    </row>
    <row r="420">
      <c r="A420" s="16">
        <f t="shared" si="1"/>
        <v>419</v>
      </c>
      <c r="B420" s="17">
        <v>45419.0</v>
      </c>
      <c r="C420" s="34" t="s">
        <v>110</v>
      </c>
      <c r="D420" s="24" t="s">
        <v>570</v>
      </c>
      <c r="H420" s="47" t="s">
        <v>348</v>
      </c>
      <c r="J420" s="22"/>
      <c r="K420" s="22"/>
      <c r="L420" s="23"/>
      <c r="M420" s="23"/>
      <c r="N420" s="23"/>
      <c r="O420" s="23"/>
    </row>
    <row r="421">
      <c r="A421" s="16">
        <f t="shared" si="1"/>
        <v>420</v>
      </c>
      <c r="B421" s="17">
        <v>45419.0</v>
      </c>
      <c r="C421" s="18" t="s">
        <v>92</v>
      </c>
      <c r="D421" s="24" t="s">
        <v>571</v>
      </c>
      <c r="H421" s="40" t="s">
        <v>71</v>
      </c>
      <c r="J421" s="22"/>
      <c r="K421" s="22"/>
      <c r="L421" s="23"/>
      <c r="M421" s="23"/>
      <c r="N421" s="23"/>
      <c r="O421" s="17">
        <v>45470.0</v>
      </c>
    </row>
    <row r="422">
      <c r="A422" s="16">
        <f t="shared" si="1"/>
        <v>421</v>
      </c>
      <c r="B422" s="17">
        <v>45420.0</v>
      </c>
      <c r="C422" s="18" t="s">
        <v>312</v>
      </c>
      <c r="D422" s="24" t="s">
        <v>572</v>
      </c>
      <c r="H422" s="18" t="s">
        <v>27</v>
      </c>
      <c r="J422" s="22"/>
      <c r="K422" s="22"/>
      <c r="L422" s="23"/>
      <c r="M422" s="23"/>
      <c r="N422" s="23"/>
      <c r="O422" s="17">
        <v>45434.0</v>
      </c>
    </row>
    <row r="423">
      <c r="A423" s="16">
        <f t="shared" si="1"/>
        <v>422</v>
      </c>
      <c r="B423" s="17">
        <v>45420.0</v>
      </c>
      <c r="C423" s="18" t="s">
        <v>312</v>
      </c>
      <c r="D423" s="24" t="s">
        <v>573</v>
      </c>
      <c r="H423" s="40" t="s">
        <v>130</v>
      </c>
      <c r="J423" s="22"/>
      <c r="K423" s="18" t="s">
        <v>574</v>
      </c>
      <c r="L423" s="23"/>
      <c r="M423" s="23"/>
      <c r="N423" s="23"/>
      <c r="O423" s="17">
        <v>45456.0</v>
      </c>
    </row>
    <row r="424">
      <c r="A424" s="16">
        <f t="shared" si="1"/>
        <v>423</v>
      </c>
      <c r="B424" s="17">
        <v>45420.0</v>
      </c>
      <c r="C424" s="34" t="s">
        <v>110</v>
      </c>
      <c r="D424" s="24" t="s">
        <v>575</v>
      </c>
      <c r="H424" s="47" t="s">
        <v>348</v>
      </c>
      <c r="J424" s="22"/>
      <c r="K424" s="22"/>
      <c r="L424" s="23"/>
      <c r="M424" s="23"/>
      <c r="N424" s="23"/>
      <c r="O424" s="23"/>
    </row>
    <row r="425">
      <c r="A425" s="16">
        <f t="shared" si="1"/>
        <v>424</v>
      </c>
      <c r="B425" s="17">
        <v>45420.0</v>
      </c>
      <c r="C425" s="18" t="s">
        <v>110</v>
      </c>
      <c r="D425" s="18" t="s">
        <v>576</v>
      </c>
      <c r="H425" s="18" t="s">
        <v>27</v>
      </c>
      <c r="J425" s="22"/>
      <c r="K425" s="22"/>
      <c r="L425" s="23"/>
      <c r="M425" s="23"/>
      <c r="N425" s="23"/>
      <c r="O425" s="17">
        <v>45456.0</v>
      </c>
    </row>
    <row r="426">
      <c r="A426" s="16">
        <f t="shared" si="1"/>
        <v>425</v>
      </c>
      <c r="B426" s="17">
        <v>45420.0</v>
      </c>
      <c r="C426" s="18" t="s">
        <v>87</v>
      </c>
      <c r="D426" s="18" t="s">
        <v>577</v>
      </c>
      <c r="H426" s="40" t="s">
        <v>71</v>
      </c>
      <c r="J426" s="22"/>
      <c r="K426" s="22"/>
      <c r="L426" s="23"/>
      <c r="M426" s="23"/>
      <c r="N426" s="23"/>
      <c r="O426" s="17">
        <v>45456.0</v>
      </c>
    </row>
    <row r="427">
      <c r="A427" s="16">
        <f t="shared" si="1"/>
        <v>426</v>
      </c>
      <c r="B427" s="17">
        <v>45421.0</v>
      </c>
      <c r="C427" s="18" t="s">
        <v>87</v>
      </c>
      <c r="D427" s="24" t="s">
        <v>578</v>
      </c>
      <c r="H427" s="47" t="s">
        <v>348</v>
      </c>
      <c r="J427" s="22"/>
      <c r="K427" s="24" t="s">
        <v>579</v>
      </c>
      <c r="L427" s="23"/>
      <c r="M427" s="23"/>
      <c r="N427" s="23"/>
      <c r="O427" s="23"/>
    </row>
    <row r="428">
      <c r="A428" s="16">
        <f t="shared" si="1"/>
        <v>427</v>
      </c>
      <c r="B428" s="17">
        <v>45421.0</v>
      </c>
      <c r="C428" s="34" t="s">
        <v>110</v>
      </c>
      <c r="D428" s="24" t="s">
        <v>580</v>
      </c>
      <c r="H428" s="40" t="s">
        <v>31</v>
      </c>
      <c r="J428" s="22"/>
      <c r="K428" s="22"/>
      <c r="L428" s="23"/>
      <c r="M428" s="23"/>
      <c r="N428" s="23"/>
      <c r="O428" s="23"/>
    </row>
    <row r="429">
      <c r="A429" s="16">
        <f t="shared" si="1"/>
        <v>428</v>
      </c>
      <c r="B429" s="17">
        <v>45422.0</v>
      </c>
      <c r="C429" s="18" t="s">
        <v>87</v>
      </c>
      <c r="D429" s="24" t="s">
        <v>581</v>
      </c>
      <c r="H429" s="40" t="s">
        <v>71</v>
      </c>
      <c r="J429" s="22"/>
      <c r="K429" s="22"/>
      <c r="L429" s="23"/>
      <c r="M429" s="23"/>
      <c r="N429" s="23"/>
      <c r="O429" s="17">
        <v>45448.0</v>
      </c>
    </row>
    <row r="430">
      <c r="A430" s="16">
        <f t="shared" si="1"/>
        <v>429</v>
      </c>
      <c r="B430" s="17">
        <v>45425.0</v>
      </c>
      <c r="C430" s="18" t="s">
        <v>110</v>
      </c>
      <c r="D430" s="24" t="s">
        <v>582</v>
      </c>
      <c r="H430" s="18" t="s">
        <v>27</v>
      </c>
      <c r="J430" s="22"/>
      <c r="K430" s="24" t="s">
        <v>583</v>
      </c>
      <c r="L430" s="23"/>
      <c r="M430" s="23"/>
      <c r="N430" s="23"/>
      <c r="O430" s="23"/>
    </row>
    <row r="431">
      <c r="A431" s="16">
        <f t="shared" si="1"/>
        <v>430</v>
      </c>
      <c r="B431" s="17">
        <v>45425.0</v>
      </c>
      <c r="C431" s="18" t="s">
        <v>453</v>
      </c>
      <c r="D431" s="24" t="s">
        <v>584</v>
      </c>
      <c r="H431" s="33" t="s">
        <v>71</v>
      </c>
      <c r="J431" s="24" t="s">
        <v>419</v>
      </c>
      <c r="K431" s="51">
        <v>45957.0</v>
      </c>
      <c r="L431" s="23"/>
      <c r="M431" s="23"/>
      <c r="N431" s="23"/>
      <c r="O431" s="17">
        <v>45957.0</v>
      </c>
    </row>
    <row r="432">
      <c r="A432" s="16">
        <f t="shared" si="1"/>
        <v>431</v>
      </c>
      <c r="B432" s="17">
        <v>45425.0</v>
      </c>
      <c r="C432" s="18" t="s">
        <v>92</v>
      </c>
      <c r="D432" s="24" t="s">
        <v>585</v>
      </c>
      <c r="H432" s="33" t="s">
        <v>46</v>
      </c>
      <c r="J432" s="22"/>
      <c r="K432" s="22"/>
      <c r="L432" s="23"/>
      <c r="M432" s="23"/>
      <c r="N432" s="23"/>
      <c r="O432" s="23"/>
    </row>
    <row r="433">
      <c r="A433" s="16">
        <f t="shared" si="1"/>
        <v>432</v>
      </c>
      <c r="B433" s="17">
        <v>45425.0</v>
      </c>
      <c r="C433" s="18" t="s">
        <v>110</v>
      </c>
      <c r="D433" s="24" t="s">
        <v>586</v>
      </c>
      <c r="H433" s="40" t="s">
        <v>31</v>
      </c>
      <c r="J433" s="24" t="s">
        <v>415</v>
      </c>
      <c r="K433" s="22"/>
      <c r="L433" s="23"/>
      <c r="M433" s="23"/>
      <c r="N433" s="23"/>
      <c r="O433" s="17">
        <v>45546.0</v>
      </c>
      <c r="P433" s="50">
        <v>45546.0</v>
      </c>
      <c r="R433" s="18" t="s">
        <v>416</v>
      </c>
      <c r="T433" s="18" t="s">
        <v>587</v>
      </c>
    </row>
    <row r="434">
      <c r="A434" s="16">
        <f t="shared" si="1"/>
        <v>433</v>
      </c>
      <c r="B434" s="17">
        <v>45425.0</v>
      </c>
      <c r="C434" s="18" t="s">
        <v>87</v>
      </c>
      <c r="D434" s="24" t="s">
        <v>588</v>
      </c>
      <c r="H434" s="40" t="s">
        <v>298</v>
      </c>
      <c r="J434" s="22"/>
      <c r="K434" s="22"/>
      <c r="L434" s="23"/>
      <c r="M434" s="23"/>
      <c r="N434" s="23"/>
      <c r="O434" s="23"/>
    </row>
    <row r="435">
      <c r="A435" s="16">
        <f t="shared" si="1"/>
        <v>434</v>
      </c>
      <c r="B435" s="17">
        <v>45425.0</v>
      </c>
      <c r="C435" s="18" t="s">
        <v>87</v>
      </c>
      <c r="D435" s="18" t="s">
        <v>589</v>
      </c>
      <c r="H435" s="40" t="s">
        <v>71</v>
      </c>
      <c r="J435" s="22"/>
      <c r="K435" s="22"/>
      <c r="L435" s="23"/>
      <c r="M435" s="23"/>
      <c r="N435" s="23"/>
      <c r="O435" s="17">
        <v>45448.0</v>
      </c>
    </row>
    <row r="436">
      <c r="A436" s="16">
        <f t="shared" si="1"/>
        <v>435</v>
      </c>
      <c r="B436" s="17">
        <v>45425.0</v>
      </c>
      <c r="C436" s="18" t="s">
        <v>92</v>
      </c>
      <c r="D436" s="24" t="s">
        <v>590</v>
      </c>
      <c r="H436" s="40" t="s">
        <v>71</v>
      </c>
      <c r="J436" s="22"/>
      <c r="K436" s="22"/>
      <c r="L436" s="23"/>
      <c r="M436" s="23"/>
      <c r="N436" s="23"/>
      <c r="O436" s="17">
        <v>45448.0</v>
      </c>
    </row>
    <row r="437">
      <c r="A437" s="16">
        <f t="shared" si="1"/>
        <v>436</v>
      </c>
      <c r="B437" s="17">
        <v>45427.0</v>
      </c>
      <c r="C437" s="18" t="s">
        <v>110</v>
      </c>
      <c r="D437" s="24" t="s">
        <v>591</v>
      </c>
      <c r="H437" s="40" t="s">
        <v>27</v>
      </c>
      <c r="J437" s="22"/>
      <c r="K437" s="22"/>
      <c r="L437" s="23"/>
      <c r="M437" s="23"/>
      <c r="N437" s="23"/>
      <c r="O437" s="17">
        <v>45448.0</v>
      </c>
    </row>
    <row r="438">
      <c r="A438" s="16">
        <f t="shared" si="1"/>
        <v>437</v>
      </c>
      <c r="B438" s="17">
        <v>45429.0</v>
      </c>
      <c r="C438" s="18" t="s">
        <v>87</v>
      </c>
      <c r="D438" s="24" t="s">
        <v>592</v>
      </c>
      <c r="H438" s="40" t="s">
        <v>71</v>
      </c>
      <c r="J438" s="22"/>
      <c r="K438" s="22"/>
      <c r="L438" s="23"/>
      <c r="M438" s="23"/>
      <c r="N438" s="23"/>
      <c r="O438" s="17">
        <v>45448.0</v>
      </c>
    </row>
    <row r="439">
      <c r="A439" s="16">
        <f t="shared" si="1"/>
        <v>438</v>
      </c>
      <c r="B439" s="17">
        <v>45429.0</v>
      </c>
      <c r="C439" s="18" t="s">
        <v>87</v>
      </c>
      <c r="D439" s="24" t="s">
        <v>593</v>
      </c>
      <c r="H439" s="40" t="s">
        <v>71</v>
      </c>
      <c r="J439" s="22"/>
      <c r="K439" s="22"/>
      <c r="L439" s="23"/>
      <c r="M439" s="23"/>
      <c r="N439" s="23"/>
      <c r="O439" s="17">
        <v>45448.0</v>
      </c>
    </row>
    <row r="440">
      <c r="A440" s="16">
        <f t="shared" si="1"/>
        <v>439</v>
      </c>
      <c r="B440" s="17">
        <v>45429.0</v>
      </c>
      <c r="C440" s="18" t="s">
        <v>87</v>
      </c>
      <c r="D440" s="24" t="s">
        <v>594</v>
      </c>
      <c r="H440" s="40" t="s">
        <v>71</v>
      </c>
      <c r="J440" s="22"/>
      <c r="K440" s="22"/>
      <c r="L440" s="23"/>
      <c r="M440" s="23"/>
      <c r="N440" s="23"/>
      <c r="O440" s="17">
        <v>45476.0</v>
      </c>
    </row>
    <row r="441">
      <c r="A441" s="16">
        <f t="shared" si="1"/>
        <v>440</v>
      </c>
      <c r="B441" s="17">
        <v>45429.0</v>
      </c>
      <c r="C441" s="18" t="s">
        <v>87</v>
      </c>
      <c r="D441" s="24" t="s">
        <v>595</v>
      </c>
      <c r="H441" s="47" t="s">
        <v>348</v>
      </c>
      <c r="J441" s="22"/>
      <c r="K441" s="22"/>
      <c r="L441" s="23"/>
      <c r="M441" s="23"/>
      <c r="N441" s="23"/>
      <c r="O441" s="23"/>
    </row>
    <row r="442">
      <c r="A442" s="16">
        <f t="shared" si="1"/>
        <v>441</v>
      </c>
      <c r="B442" s="17">
        <v>45432.0</v>
      </c>
      <c r="C442" s="18" t="s">
        <v>92</v>
      </c>
      <c r="D442" s="24" t="s">
        <v>596</v>
      </c>
      <c r="H442" s="40" t="s">
        <v>71</v>
      </c>
      <c r="J442" s="22"/>
      <c r="K442" s="22"/>
      <c r="L442" s="23"/>
      <c r="M442" s="23"/>
      <c r="N442" s="23"/>
      <c r="O442" s="17">
        <v>45448.0</v>
      </c>
    </row>
    <row r="443">
      <c r="A443" s="16">
        <f t="shared" si="1"/>
        <v>442</v>
      </c>
      <c r="B443" s="17">
        <v>45435.0</v>
      </c>
      <c r="C443" s="18" t="s">
        <v>92</v>
      </c>
      <c r="D443" s="24" t="s">
        <v>597</v>
      </c>
      <c r="H443" s="40" t="s">
        <v>130</v>
      </c>
      <c r="J443" s="22"/>
      <c r="K443" s="22"/>
      <c r="L443" s="23"/>
      <c r="M443" s="23"/>
      <c r="N443" s="23"/>
      <c r="O443" s="17">
        <v>45448.0</v>
      </c>
    </row>
    <row r="444">
      <c r="A444" s="16">
        <f t="shared" si="1"/>
        <v>443</v>
      </c>
      <c r="B444" s="17">
        <v>45436.0</v>
      </c>
      <c r="C444" s="18" t="s">
        <v>598</v>
      </c>
      <c r="D444" s="24" t="s">
        <v>599</v>
      </c>
      <c r="H444" s="18" t="s">
        <v>27</v>
      </c>
      <c r="J444" s="22"/>
      <c r="K444" s="22"/>
      <c r="L444" s="23"/>
      <c r="M444" s="23"/>
      <c r="N444" s="23"/>
      <c r="O444" s="17">
        <v>45456.0</v>
      </c>
    </row>
    <row r="445">
      <c r="A445" s="16">
        <f t="shared" si="1"/>
        <v>444</v>
      </c>
      <c r="B445" s="17">
        <v>45439.0</v>
      </c>
      <c r="C445" s="18" t="s">
        <v>147</v>
      </c>
      <c r="D445" s="24" t="s">
        <v>600</v>
      </c>
      <c r="H445" s="33" t="s">
        <v>46</v>
      </c>
      <c r="J445" s="22"/>
      <c r="K445" s="22"/>
      <c r="L445" s="23"/>
      <c r="M445" s="23"/>
      <c r="N445" s="23"/>
      <c r="O445" s="23"/>
    </row>
    <row r="446">
      <c r="A446" s="16">
        <f t="shared" si="1"/>
        <v>445</v>
      </c>
      <c r="B446" s="17">
        <v>45439.0</v>
      </c>
      <c r="C446" s="18" t="s">
        <v>312</v>
      </c>
      <c r="D446" s="24" t="s">
        <v>601</v>
      </c>
      <c r="H446" s="18" t="s">
        <v>27</v>
      </c>
      <c r="J446" s="22"/>
      <c r="K446" s="22"/>
      <c r="L446" s="23"/>
      <c r="M446" s="23"/>
      <c r="N446" s="23"/>
      <c r="O446" s="17">
        <v>45470.0</v>
      </c>
    </row>
    <row r="447">
      <c r="A447" s="16">
        <f t="shared" si="1"/>
        <v>446</v>
      </c>
      <c r="B447" s="17">
        <v>45442.0</v>
      </c>
      <c r="C447" s="18" t="s">
        <v>110</v>
      </c>
      <c r="D447" s="24" t="s">
        <v>602</v>
      </c>
      <c r="H447" s="18" t="s">
        <v>27</v>
      </c>
      <c r="J447" s="22"/>
      <c r="K447" s="22"/>
      <c r="L447" s="23"/>
      <c r="M447" s="23"/>
      <c r="N447" s="23"/>
      <c r="O447" s="17">
        <v>45456.0</v>
      </c>
    </row>
    <row r="448">
      <c r="A448" s="16">
        <f t="shared" si="1"/>
        <v>447</v>
      </c>
      <c r="B448" s="17">
        <v>45443.0</v>
      </c>
      <c r="C448" s="18" t="s">
        <v>312</v>
      </c>
      <c r="D448" s="24" t="s">
        <v>603</v>
      </c>
      <c r="H448" s="33" t="s">
        <v>46</v>
      </c>
      <c r="J448" s="22"/>
      <c r="K448" s="22"/>
      <c r="L448" s="23"/>
      <c r="M448" s="23"/>
      <c r="N448" s="23"/>
      <c r="O448" s="23"/>
    </row>
    <row r="449">
      <c r="A449" s="16">
        <f t="shared" si="1"/>
        <v>448</v>
      </c>
      <c r="B449" s="17">
        <v>45450.0</v>
      </c>
      <c r="C449" s="18" t="s">
        <v>87</v>
      </c>
      <c r="D449" s="24" t="s">
        <v>604</v>
      </c>
      <c r="H449" s="40" t="s">
        <v>71</v>
      </c>
      <c r="J449" s="22"/>
      <c r="K449" s="22"/>
      <c r="L449" s="23"/>
      <c r="M449" s="23"/>
      <c r="N449" s="23"/>
      <c r="O449" s="17">
        <v>45456.0</v>
      </c>
    </row>
    <row r="450">
      <c r="A450" s="16">
        <f t="shared" si="1"/>
        <v>449</v>
      </c>
      <c r="B450" s="17">
        <v>45455.0</v>
      </c>
      <c r="C450" s="18" t="s">
        <v>87</v>
      </c>
      <c r="D450" s="24" t="s">
        <v>605</v>
      </c>
      <c r="H450" s="40" t="s">
        <v>71</v>
      </c>
      <c r="J450" s="22"/>
      <c r="K450" s="22"/>
      <c r="L450" s="23"/>
      <c r="M450" s="23"/>
      <c r="N450" s="23"/>
      <c r="O450" s="17">
        <v>45470.0</v>
      </c>
    </row>
    <row r="451">
      <c r="A451" s="16">
        <f t="shared" si="1"/>
        <v>450</v>
      </c>
      <c r="B451" s="17">
        <v>45457.0</v>
      </c>
      <c r="C451" s="18" t="s">
        <v>110</v>
      </c>
      <c r="D451" s="24" t="s">
        <v>606</v>
      </c>
      <c r="H451" s="33" t="s">
        <v>46</v>
      </c>
      <c r="J451" s="22"/>
      <c r="K451" s="22"/>
      <c r="L451" s="23"/>
      <c r="M451" s="23"/>
      <c r="N451" s="23"/>
      <c r="O451" s="23"/>
    </row>
    <row r="452">
      <c r="A452" s="16">
        <f t="shared" si="1"/>
        <v>451</v>
      </c>
      <c r="B452" s="17">
        <v>45457.0</v>
      </c>
      <c r="C452" s="18" t="s">
        <v>92</v>
      </c>
      <c r="D452" s="24" t="s">
        <v>607</v>
      </c>
      <c r="H452" s="33" t="s">
        <v>46</v>
      </c>
      <c r="J452" s="22"/>
      <c r="K452" s="22"/>
      <c r="L452" s="23"/>
      <c r="M452" s="23"/>
      <c r="N452" s="23"/>
      <c r="O452" s="23"/>
    </row>
    <row r="453">
      <c r="A453" s="16">
        <f t="shared" si="1"/>
        <v>452</v>
      </c>
      <c r="B453" s="17">
        <v>45457.0</v>
      </c>
      <c r="C453" s="18" t="s">
        <v>92</v>
      </c>
      <c r="D453" s="24" t="s">
        <v>608</v>
      </c>
      <c r="H453" s="33" t="s">
        <v>46</v>
      </c>
      <c r="J453" s="22"/>
      <c r="K453" s="22"/>
      <c r="L453" s="23"/>
      <c r="M453" s="23"/>
      <c r="N453" s="23"/>
      <c r="O453" s="23"/>
    </row>
    <row r="454">
      <c r="A454" s="16">
        <f t="shared" si="1"/>
        <v>453</v>
      </c>
      <c r="B454" s="17">
        <v>45457.0</v>
      </c>
      <c r="C454" s="18" t="s">
        <v>92</v>
      </c>
      <c r="D454" s="24" t="s">
        <v>609</v>
      </c>
      <c r="H454" s="40" t="s">
        <v>23</v>
      </c>
      <c r="J454" s="22"/>
      <c r="K454" s="24" t="s">
        <v>610</v>
      </c>
      <c r="L454" s="23"/>
      <c r="M454" s="23"/>
      <c r="N454" s="23"/>
      <c r="O454" s="23"/>
    </row>
    <row r="455">
      <c r="A455" s="16">
        <f t="shared" si="1"/>
        <v>454</v>
      </c>
      <c r="B455" s="17">
        <v>45460.0</v>
      </c>
      <c r="C455" s="18" t="s">
        <v>92</v>
      </c>
      <c r="D455" s="24" t="s">
        <v>611</v>
      </c>
      <c r="H455" s="40" t="s">
        <v>71</v>
      </c>
      <c r="J455" s="22"/>
      <c r="K455" s="22"/>
      <c r="L455" s="23"/>
      <c r="M455" s="23"/>
      <c r="N455" s="23"/>
      <c r="O455" s="17">
        <v>45463.0</v>
      </c>
    </row>
    <row r="456">
      <c r="A456" s="16">
        <f t="shared" si="1"/>
        <v>455</v>
      </c>
      <c r="B456" s="38">
        <v>45470.0</v>
      </c>
      <c r="C456" s="32" t="s">
        <v>87</v>
      </c>
      <c r="D456" s="32" t="s">
        <v>612</v>
      </c>
      <c r="H456" s="40" t="s">
        <v>71</v>
      </c>
      <c r="J456" s="22"/>
      <c r="K456" s="22"/>
      <c r="L456" s="23"/>
      <c r="M456" s="23"/>
      <c r="N456" s="23"/>
      <c r="O456" s="17">
        <v>45462.0</v>
      </c>
    </row>
    <row r="457">
      <c r="A457" s="16">
        <f t="shared" si="1"/>
        <v>456</v>
      </c>
      <c r="B457" s="17">
        <v>45460.0</v>
      </c>
      <c r="C457" s="18" t="s">
        <v>92</v>
      </c>
      <c r="D457" s="24" t="s">
        <v>613</v>
      </c>
      <c r="H457" s="40" t="s">
        <v>27</v>
      </c>
      <c r="J457" s="22"/>
      <c r="K457" s="24" t="s">
        <v>614</v>
      </c>
      <c r="L457" s="23"/>
      <c r="M457" s="23"/>
      <c r="N457" s="23"/>
      <c r="O457" s="23"/>
    </row>
    <row r="458">
      <c r="A458" s="16">
        <f t="shared" si="1"/>
        <v>457</v>
      </c>
      <c r="B458" s="17">
        <v>45460.0</v>
      </c>
      <c r="C458" s="18" t="s">
        <v>92</v>
      </c>
      <c r="D458" s="24" t="s">
        <v>615</v>
      </c>
      <c r="H458" s="40" t="s">
        <v>23</v>
      </c>
      <c r="J458" s="22"/>
      <c r="K458" s="22"/>
      <c r="L458" s="23"/>
      <c r="M458" s="23"/>
      <c r="N458" s="23"/>
      <c r="O458" s="23"/>
    </row>
    <row r="459">
      <c r="A459" s="16">
        <f t="shared" si="1"/>
        <v>458</v>
      </c>
      <c r="B459" s="17">
        <v>45460.0</v>
      </c>
      <c r="C459" s="18" t="s">
        <v>92</v>
      </c>
      <c r="D459" s="24" t="s">
        <v>616</v>
      </c>
      <c r="H459" s="33" t="s">
        <v>71</v>
      </c>
      <c r="J459" s="24" t="s">
        <v>415</v>
      </c>
      <c r="K459" s="24" t="s">
        <v>617</v>
      </c>
      <c r="L459" s="23"/>
      <c r="M459" s="23"/>
      <c r="N459" s="23"/>
      <c r="O459" s="17">
        <v>45553.0</v>
      </c>
    </row>
    <row r="460">
      <c r="A460" s="16">
        <f t="shared" si="1"/>
        <v>459</v>
      </c>
      <c r="B460" s="17">
        <v>45460.0</v>
      </c>
      <c r="C460" s="18" t="s">
        <v>110</v>
      </c>
      <c r="D460" s="24" t="s">
        <v>618</v>
      </c>
      <c r="H460" s="33" t="s">
        <v>46</v>
      </c>
      <c r="J460" s="22"/>
      <c r="K460" s="22"/>
      <c r="L460" s="23"/>
      <c r="M460" s="23"/>
      <c r="N460" s="23"/>
      <c r="O460" s="23"/>
    </row>
    <row r="461">
      <c r="A461" s="16">
        <f t="shared" si="1"/>
        <v>460</v>
      </c>
      <c r="B461" s="17">
        <v>45460.0</v>
      </c>
      <c r="C461" s="18" t="s">
        <v>110</v>
      </c>
      <c r="D461" s="24" t="s">
        <v>619</v>
      </c>
      <c r="H461" s="33" t="s">
        <v>23</v>
      </c>
      <c r="J461" s="22"/>
      <c r="K461" s="24" t="s">
        <v>620</v>
      </c>
      <c r="L461" s="23"/>
      <c r="M461" s="23"/>
      <c r="N461" s="23"/>
      <c r="O461" s="23"/>
    </row>
    <row r="462">
      <c r="A462" s="16">
        <f t="shared" si="1"/>
        <v>461</v>
      </c>
      <c r="B462" s="17">
        <v>45460.0</v>
      </c>
      <c r="C462" s="18" t="s">
        <v>110</v>
      </c>
      <c r="D462" s="24" t="s">
        <v>621</v>
      </c>
      <c r="H462" s="33" t="s">
        <v>46</v>
      </c>
      <c r="J462" s="22"/>
      <c r="K462" s="22"/>
      <c r="L462" s="23"/>
      <c r="M462" s="23"/>
      <c r="N462" s="23"/>
      <c r="O462" s="23"/>
    </row>
    <row r="463">
      <c r="A463" s="16">
        <f t="shared" si="1"/>
        <v>462</v>
      </c>
      <c r="B463" s="17">
        <v>45460.0</v>
      </c>
      <c r="C463" s="18" t="s">
        <v>110</v>
      </c>
      <c r="D463" s="24" t="s">
        <v>622</v>
      </c>
      <c r="H463" s="33" t="s">
        <v>46</v>
      </c>
      <c r="J463" s="22"/>
      <c r="K463" s="22"/>
      <c r="L463" s="23"/>
      <c r="M463" s="23"/>
      <c r="N463" s="23"/>
      <c r="O463" s="23"/>
    </row>
    <row r="464">
      <c r="A464" s="16">
        <f t="shared" si="1"/>
        <v>463</v>
      </c>
      <c r="B464" s="17">
        <v>45460.0</v>
      </c>
      <c r="C464" s="18" t="s">
        <v>110</v>
      </c>
      <c r="D464" s="24" t="s">
        <v>623</v>
      </c>
      <c r="H464" s="40" t="s">
        <v>27</v>
      </c>
      <c r="J464" s="22"/>
      <c r="K464" s="22"/>
      <c r="L464" s="23"/>
      <c r="M464" s="23"/>
      <c r="N464" s="23"/>
      <c r="O464" s="17">
        <v>45470.0</v>
      </c>
    </row>
    <row r="465">
      <c r="A465" s="16">
        <f t="shared" si="1"/>
        <v>464</v>
      </c>
      <c r="B465" s="26">
        <v>45461.0</v>
      </c>
      <c r="C465" s="18" t="s">
        <v>87</v>
      </c>
      <c r="D465" s="24" t="s">
        <v>624</v>
      </c>
      <c r="H465" s="33" t="s">
        <v>71</v>
      </c>
      <c r="J465" s="22"/>
      <c r="K465" s="22"/>
      <c r="L465" s="23"/>
      <c r="M465" s="23"/>
      <c r="N465" s="23"/>
      <c r="O465" s="26">
        <v>45476.0</v>
      </c>
    </row>
    <row r="466">
      <c r="A466" s="16">
        <f t="shared" si="1"/>
        <v>465</v>
      </c>
      <c r="B466" s="26">
        <v>45462.0</v>
      </c>
      <c r="C466" s="18" t="s">
        <v>87</v>
      </c>
      <c r="D466" s="24" t="s">
        <v>625</v>
      </c>
      <c r="H466" s="33" t="s">
        <v>27</v>
      </c>
      <c r="J466" s="22"/>
      <c r="K466" s="22"/>
      <c r="L466" s="23"/>
      <c r="M466" s="23"/>
      <c r="N466" s="17">
        <v>45462.0</v>
      </c>
    </row>
    <row r="467">
      <c r="A467" s="16">
        <f t="shared" si="1"/>
        <v>466</v>
      </c>
      <c r="B467" s="17">
        <v>45462.0</v>
      </c>
      <c r="C467" s="18" t="s">
        <v>92</v>
      </c>
      <c r="D467" s="57" t="s">
        <v>626</v>
      </c>
      <c r="H467" s="33" t="s">
        <v>46</v>
      </c>
      <c r="J467" s="22"/>
      <c r="K467" s="22"/>
      <c r="L467" s="23"/>
      <c r="M467" s="23"/>
      <c r="N467" s="23"/>
      <c r="O467" s="23"/>
    </row>
    <row r="468">
      <c r="A468" s="16">
        <f t="shared" si="1"/>
        <v>467</v>
      </c>
      <c r="B468" s="17">
        <v>45462.0</v>
      </c>
      <c r="C468" s="18" t="s">
        <v>92</v>
      </c>
      <c r="D468" s="24" t="s">
        <v>627</v>
      </c>
      <c r="H468" s="33" t="s">
        <v>46</v>
      </c>
      <c r="J468" s="22"/>
      <c r="K468" s="22"/>
      <c r="L468" s="23"/>
      <c r="M468" s="23"/>
      <c r="N468" s="23"/>
      <c r="O468" s="23"/>
    </row>
    <row r="469">
      <c r="A469" s="16">
        <f t="shared" si="1"/>
        <v>468</v>
      </c>
      <c r="B469" s="17">
        <v>45463.0</v>
      </c>
      <c r="C469" s="18" t="s">
        <v>110</v>
      </c>
      <c r="D469" s="24" t="s">
        <v>628</v>
      </c>
      <c r="H469" s="33" t="s">
        <v>46</v>
      </c>
      <c r="J469" s="22"/>
      <c r="K469" s="22"/>
      <c r="L469" s="23"/>
      <c r="M469" s="23"/>
      <c r="N469" s="23"/>
      <c r="O469" s="23"/>
    </row>
    <row r="470">
      <c r="A470" s="16">
        <f t="shared" si="1"/>
        <v>469</v>
      </c>
      <c r="B470" s="17">
        <v>45463.0</v>
      </c>
      <c r="C470" s="18" t="s">
        <v>110</v>
      </c>
      <c r="D470" s="24" t="s">
        <v>629</v>
      </c>
      <c r="H470" s="33" t="s">
        <v>298</v>
      </c>
      <c r="J470" s="22"/>
      <c r="K470" s="27" t="s">
        <v>630</v>
      </c>
      <c r="L470" s="23"/>
      <c r="M470" s="23"/>
      <c r="N470" s="23"/>
      <c r="O470" s="23"/>
    </row>
    <row r="471">
      <c r="A471" s="16">
        <f t="shared" si="1"/>
        <v>470</v>
      </c>
      <c r="B471" s="17">
        <v>45463.0</v>
      </c>
      <c r="C471" s="18" t="s">
        <v>110</v>
      </c>
      <c r="D471" s="24" t="s">
        <v>631</v>
      </c>
      <c r="H471" s="40" t="s">
        <v>23</v>
      </c>
      <c r="J471" s="22"/>
      <c r="K471" s="24" t="s">
        <v>632</v>
      </c>
      <c r="L471" s="23"/>
      <c r="M471" s="23"/>
      <c r="N471" s="23"/>
      <c r="O471" s="23"/>
    </row>
    <row r="472">
      <c r="A472" s="16">
        <f t="shared" si="1"/>
        <v>471</v>
      </c>
      <c r="B472" s="17">
        <v>45463.0</v>
      </c>
      <c r="C472" s="18" t="s">
        <v>110</v>
      </c>
      <c r="D472" s="24" t="s">
        <v>633</v>
      </c>
      <c r="H472" s="33" t="s">
        <v>46</v>
      </c>
      <c r="J472" s="22"/>
      <c r="K472" s="22"/>
      <c r="L472" s="23"/>
      <c r="M472" s="23"/>
      <c r="N472" s="23"/>
      <c r="O472" s="23"/>
    </row>
    <row r="473">
      <c r="A473" s="16">
        <f t="shared" si="1"/>
        <v>472</v>
      </c>
      <c r="B473" s="17">
        <v>45463.0</v>
      </c>
      <c r="C473" s="18" t="s">
        <v>110</v>
      </c>
      <c r="D473" s="24" t="s">
        <v>634</v>
      </c>
      <c r="H473" s="33" t="s">
        <v>46</v>
      </c>
      <c r="J473" s="22"/>
      <c r="K473" s="22"/>
      <c r="L473" s="23"/>
      <c r="M473" s="23"/>
      <c r="N473" s="23"/>
      <c r="O473" s="23"/>
    </row>
    <row r="474">
      <c r="A474" s="16">
        <f t="shared" si="1"/>
        <v>473</v>
      </c>
      <c r="B474" s="17">
        <v>45463.0</v>
      </c>
      <c r="C474" s="18" t="s">
        <v>110</v>
      </c>
      <c r="D474" s="18" t="s">
        <v>635</v>
      </c>
      <c r="E474" s="18" t="s">
        <v>110</v>
      </c>
      <c r="H474" s="33" t="s">
        <v>46</v>
      </c>
      <c r="J474" s="22"/>
      <c r="K474" s="22"/>
      <c r="L474" s="23"/>
      <c r="M474" s="23"/>
      <c r="N474" s="23"/>
      <c r="O474" s="23"/>
    </row>
    <row r="475">
      <c r="A475" s="16">
        <f t="shared" si="1"/>
        <v>474</v>
      </c>
      <c r="B475" s="17">
        <v>45463.0</v>
      </c>
      <c r="C475" s="18" t="s">
        <v>92</v>
      </c>
      <c r="D475" s="24" t="s">
        <v>636</v>
      </c>
      <c r="H475" s="40" t="s">
        <v>71</v>
      </c>
      <c r="J475" s="22"/>
      <c r="K475" s="24" t="s">
        <v>637</v>
      </c>
      <c r="L475" s="23"/>
      <c r="M475" s="23"/>
      <c r="N475" s="23"/>
      <c r="O475" s="23"/>
    </row>
    <row r="476">
      <c r="A476" s="16">
        <f t="shared" si="1"/>
        <v>475</v>
      </c>
      <c r="B476" s="17">
        <v>45463.0</v>
      </c>
      <c r="C476" s="18" t="s">
        <v>92</v>
      </c>
      <c r="D476" s="24" t="s">
        <v>638</v>
      </c>
      <c r="H476" s="33" t="s">
        <v>71</v>
      </c>
      <c r="J476" s="22"/>
      <c r="K476" s="22"/>
      <c r="L476" s="23"/>
      <c r="M476" s="23"/>
      <c r="N476" s="23"/>
      <c r="O476" s="23"/>
    </row>
    <row r="477">
      <c r="A477" s="16">
        <f t="shared" si="1"/>
        <v>476</v>
      </c>
      <c r="B477" s="17">
        <v>45464.0</v>
      </c>
      <c r="C477" s="18" t="s">
        <v>312</v>
      </c>
      <c r="D477" s="24" t="s">
        <v>639</v>
      </c>
      <c r="H477" s="18" t="s">
        <v>27</v>
      </c>
      <c r="J477" s="22"/>
      <c r="K477" s="22"/>
      <c r="L477" s="23"/>
      <c r="M477" s="23"/>
      <c r="N477" s="17">
        <v>45464.0</v>
      </c>
      <c r="O477" s="23"/>
    </row>
    <row r="478">
      <c r="A478" s="16">
        <f t="shared" si="1"/>
        <v>477</v>
      </c>
      <c r="B478" s="17">
        <v>45464.0</v>
      </c>
      <c r="C478" s="18" t="s">
        <v>110</v>
      </c>
      <c r="D478" s="24" t="s">
        <v>640</v>
      </c>
      <c r="H478" s="18" t="s">
        <v>27</v>
      </c>
      <c r="J478" s="22"/>
      <c r="K478" s="22"/>
      <c r="L478" s="23"/>
      <c r="M478" s="23"/>
      <c r="N478" s="26">
        <v>45476.0</v>
      </c>
      <c r="O478" s="23"/>
    </row>
    <row r="479">
      <c r="A479" s="16">
        <f t="shared" si="1"/>
        <v>478</v>
      </c>
      <c r="B479" s="17">
        <v>45467.0</v>
      </c>
      <c r="C479" s="18" t="s">
        <v>92</v>
      </c>
      <c r="D479" s="24" t="s">
        <v>641</v>
      </c>
      <c r="H479" s="33" t="s">
        <v>348</v>
      </c>
      <c r="J479" s="22"/>
      <c r="K479" s="22"/>
      <c r="L479" s="23"/>
      <c r="M479" s="23"/>
      <c r="N479" s="23"/>
      <c r="O479" s="23"/>
    </row>
    <row r="480">
      <c r="A480" s="16">
        <f t="shared" si="1"/>
        <v>479</v>
      </c>
      <c r="B480" s="17">
        <v>45467.0</v>
      </c>
      <c r="C480" s="18" t="s">
        <v>110</v>
      </c>
      <c r="D480" s="24" t="s">
        <v>642</v>
      </c>
      <c r="H480" s="33" t="s">
        <v>46</v>
      </c>
      <c r="J480" s="22"/>
      <c r="K480" s="22"/>
      <c r="L480" s="23"/>
      <c r="M480" s="23"/>
      <c r="N480" s="23"/>
      <c r="O480" s="23"/>
    </row>
    <row r="481">
      <c r="A481" s="16">
        <f t="shared" si="1"/>
        <v>480</v>
      </c>
      <c r="B481" s="17">
        <v>45467.0</v>
      </c>
      <c r="C481" s="18" t="s">
        <v>110</v>
      </c>
      <c r="D481" s="24" t="s">
        <v>643</v>
      </c>
      <c r="H481" s="33" t="s">
        <v>46</v>
      </c>
      <c r="J481" s="22"/>
      <c r="K481" s="22"/>
      <c r="L481" s="23"/>
      <c r="M481" s="23"/>
      <c r="N481" s="23"/>
      <c r="O481" s="23"/>
    </row>
    <row r="482">
      <c r="A482" s="16">
        <f t="shared" si="1"/>
        <v>481</v>
      </c>
      <c r="B482" s="17">
        <v>45467.0</v>
      </c>
      <c r="C482" s="18" t="s">
        <v>110</v>
      </c>
      <c r="D482" s="24" t="s">
        <v>644</v>
      </c>
      <c r="H482" s="33" t="s">
        <v>46</v>
      </c>
      <c r="J482" s="22"/>
      <c r="K482" s="22"/>
      <c r="L482" s="23"/>
      <c r="M482" s="23"/>
      <c r="N482" s="23"/>
      <c r="O482" s="23"/>
    </row>
    <row r="483">
      <c r="A483" s="16">
        <f t="shared" si="1"/>
        <v>482</v>
      </c>
      <c r="B483" s="17">
        <v>45468.0</v>
      </c>
      <c r="C483" s="18" t="s">
        <v>92</v>
      </c>
      <c r="D483" s="24" t="s">
        <v>645</v>
      </c>
      <c r="H483" s="33" t="s">
        <v>71</v>
      </c>
      <c r="J483" s="22"/>
      <c r="K483" s="22"/>
      <c r="L483" s="23"/>
      <c r="M483" s="23"/>
      <c r="N483" s="23"/>
      <c r="O483" s="23"/>
    </row>
    <row r="484">
      <c r="A484" s="16">
        <f t="shared" si="1"/>
        <v>483</v>
      </c>
      <c r="B484" s="17">
        <v>45468.0</v>
      </c>
      <c r="C484" s="18" t="s">
        <v>110</v>
      </c>
      <c r="D484" s="24" t="s">
        <v>646</v>
      </c>
      <c r="H484" s="33" t="s">
        <v>46</v>
      </c>
      <c r="J484" s="22"/>
      <c r="K484" s="22"/>
      <c r="L484" s="23"/>
      <c r="M484" s="23"/>
      <c r="N484" s="23"/>
      <c r="O484" s="23"/>
    </row>
    <row r="485">
      <c r="A485" s="16">
        <f t="shared" si="1"/>
        <v>484</v>
      </c>
      <c r="B485" s="17">
        <v>45468.0</v>
      </c>
      <c r="C485" s="18" t="s">
        <v>87</v>
      </c>
      <c r="D485" s="58" t="s">
        <v>647</v>
      </c>
      <c r="H485" s="33" t="s">
        <v>23</v>
      </c>
      <c r="J485" s="22"/>
      <c r="K485" s="24" t="s">
        <v>648</v>
      </c>
      <c r="L485" s="23"/>
      <c r="M485" s="23"/>
      <c r="N485" s="23"/>
      <c r="O485" s="23"/>
    </row>
    <row r="486">
      <c r="A486" s="16">
        <f t="shared" si="1"/>
        <v>485</v>
      </c>
      <c r="B486" s="17">
        <v>45468.0</v>
      </c>
      <c r="C486" s="18" t="s">
        <v>87</v>
      </c>
      <c r="D486" s="58" t="s">
        <v>649</v>
      </c>
      <c r="H486" s="33" t="s">
        <v>23</v>
      </c>
      <c r="J486" s="22"/>
      <c r="K486" s="24" t="s">
        <v>650</v>
      </c>
      <c r="L486" s="23"/>
      <c r="M486" s="23"/>
      <c r="N486" s="23"/>
      <c r="O486" s="23"/>
    </row>
    <row r="487">
      <c r="A487" s="16">
        <f t="shared" si="1"/>
        <v>486</v>
      </c>
      <c r="B487" s="17">
        <v>45468.0</v>
      </c>
      <c r="C487" s="18" t="s">
        <v>87</v>
      </c>
      <c r="D487" s="58" t="s">
        <v>651</v>
      </c>
      <c r="H487" s="33" t="s">
        <v>23</v>
      </c>
      <c r="J487" s="22"/>
      <c r="K487" s="24" t="s">
        <v>652</v>
      </c>
      <c r="L487" s="23"/>
      <c r="M487" s="23"/>
      <c r="N487" s="23"/>
      <c r="O487" s="23"/>
    </row>
    <row r="488">
      <c r="A488" s="16">
        <f t="shared" si="1"/>
        <v>487</v>
      </c>
      <c r="B488" s="17">
        <v>45468.0</v>
      </c>
      <c r="C488" s="18" t="s">
        <v>87</v>
      </c>
      <c r="D488" s="58" t="s">
        <v>653</v>
      </c>
      <c r="H488" s="33" t="s">
        <v>46</v>
      </c>
      <c r="J488" s="22"/>
      <c r="K488" s="22"/>
      <c r="L488" s="23"/>
      <c r="M488" s="23"/>
      <c r="N488" s="23"/>
      <c r="O488" s="23"/>
    </row>
    <row r="489">
      <c r="A489" s="16">
        <f t="shared" si="1"/>
        <v>488</v>
      </c>
      <c r="B489" s="17">
        <v>45468.0</v>
      </c>
      <c r="C489" s="18" t="s">
        <v>87</v>
      </c>
      <c r="D489" s="24" t="s">
        <v>654</v>
      </c>
      <c r="H489" s="33" t="s">
        <v>23</v>
      </c>
      <c r="J489" s="22"/>
      <c r="K489" s="24" t="s">
        <v>655</v>
      </c>
      <c r="L489" s="23"/>
      <c r="M489" s="23"/>
      <c r="N489" s="23"/>
      <c r="O489" s="23"/>
    </row>
    <row r="490">
      <c r="A490" s="16">
        <f t="shared" si="1"/>
        <v>489</v>
      </c>
      <c r="B490" s="17">
        <v>45468.0</v>
      </c>
      <c r="C490" s="18" t="s">
        <v>110</v>
      </c>
      <c r="D490" s="27" t="s">
        <v>656</v>
      </c>
      <c r="H490" s="18" t="s">
        <v>27</v>
      </c>
      <c r="J490" s="22"/>
      <c r="K490" s="22"/>
      <c r="L490" s="23"/>
      <c r="M490" s="23"/>
      <c r="N490" s="23"/>
      <c r="O490" s="17">
        <v>45476.0</v>
      </c>
    </row>
    <row r="491">
      <c r="A491" s="16">
        <f t="shared" si="1"/>
        <v>490</v>
      </c>
      <c r="B491" s="17">
        <v>45468.0</v>
      </c>
      <c r="C491" s="18" t="s">
        <v>110</v>
      </c>
      <c r="D491" s="24" t="s">
        <v>657</v>
      </c>
      <c r="H491" s="18" t="s">
        <v>27</v>
      </c>
      <c r="J491" s="22"/>
      <c r="K491" s="24" t="s">
        <v>658</v>
      </c>
      <c r="L491" s="23"/>
      <c r="M491" s="23"/>
      <c r="N491" s="23"/>
      <c r="O491" s="17">
        <v>45532.0</v>
      </c>
    </row>
    <row r="492">
      <c r="A492" s="16">
        <f t="shared" si="1"/>
        <v>491</v>
      </c>
      <c r="B492" s="17">
        <v>45469.0</v>
      </c>
      <c r="C492" s="18" t="s">
        <v>92</v>
      </c>
      <c r="D492" s="18" t="s">
        <v>659</v>
      </c>
      <c r="H492" s="33" t="s">
        <v>46</v>
      </c>
      <c r="J492" s="22"/>
      <c r="K492" s="22"/>
      <c r="L492" s="23"/>
      <c r="M492" s="23"/>
      <c r="N492" s="23"/>
      <c r="O492" s="23"/>
    </row>
    <row r="493">
      <c r="A493" s="16">
        <f t="shared" si="1"/>
        <v>492</v>
      </c>
      <c r="B493" s="17">
        <v>45469.0</v>
      </c>
      <c r="C493" s="18" t="s">
        <v>110</v>
      </c>
      <c r="D493" s="24" t="s">
        <v>660</v>
      </c>
      <c r="H493" s="18" t="s">
        <v>27</v>
      </c>
      <c r="J493" s="22"/>
      <c r="K493" s="22"/>
      <c r="L493" s="23"/>
      <c r="M493" s="23"/>
      <c r="N493" s="23"/>
      <c r="O493" s="26">
        <v>45476.0</v>
      </c>
    </row>
    <row r="494">
      <c r="A494" s="16">
        <f t="shared" si="1"/>
        <v>493</v>
      </c>
      <c r="B494" s="17">
        <v>45469.0</v>
      </c>
      <c r="C494" s="18" t="s">
        <v>87</v>
      </c>
      <c r="D494" s="24" t="s">
        <v>661</v>
      </c>
      <c r="H494" s="33" t="s">
        <v>46</v>
      </c>
      <c r="J494" s="22"/>
      <c r="K494" s="22"/>
      <c r="L494" s="23"/>
      <c r="M494" s="23"/>
      <c r="N494" s="23"/>
      <c r="O494" s="23"/>
    </row>
    <row r="495">
      <c r="A495" s="16">
        <f t="shared" si="1"/>
        <v>494</v>
      </c>
      <c r="B495" s="17">
        <v>45470.0</v>
      </c>
      <c r="C495" s="18" t="s">
        <v>87</v>
      </c>
      <c r="D495" s="24" t="s">
        <v>662</v>
      </c>
      <c r="H495" s="33" t="s">
        <v>46</v>
      </c>
      <c r="J495" s="22"/>
      <c r="K495" s="22"/>
      <c r="L495" s="23"/>
      <c r="M495" s="23"/>
      <c r="N495" s="23"/>
      <c r="O495" s="23"/>
    </row>
    <row r="496">
      <c r="A496" s="16">
        <f t="shared" si="1"/>
        <v>495</v>
      </c>
      <c r="B496" s="17">
        <v>45469.0</v>
      </c>
      <c r="C496" s="18" t="s">
        <v>92</v>
      </c>
      <c r="D496" s="24" t="s">
        <v>663</v>
      </c>
      <c r="H496" s="33" t="s">
        <v>71</v>
      </c>
      <c r="J496" s="22"/>
      <c r="K496" s="22"/>
      <c r="L496" s="23"/>
      <c r="M496" s="23"/>
      <c r="N496" s="23"/>
      <c r="O496" s="26">
        <v>45476.0</v>
      </c>
    </row>
    <row r="497">
      <c r="A497" s="16">
        <f t="shared" si="1"/>
        <v>496</v>
      </c>
      <c r="B497" s="17">
        <v>45469.0</v>
      </c>
      <c r="C497" s="18" t="s">
        <v>92</v>
      </c>
      <c r="D497" s="24" t="s">
        <v>664</v>
      </c>
      <c r="H497" s="33" t="s">
        <v>46</v>
      </c>
      <c r="J497" s="22"/>
      <c r="K497" s="22"/>
      <c r="L497" s="23"/>
      <c r="M497" s="23"/>
      <c r="N497" s="23"/>
      <c r="O497" s="23"/>
    </row>
    <row r="498">
      <c r="A498" s="16">
        <f t="shared" si="1"/>
        <v>497</v>
      </c>
      <c r="B498" s="17">
        <v>45469.0</v>
      </c>
      <c r="C498" s="18" t="s">
        <v>87</v>
      </c>
      <c r="D498" s="24" t="s">
        <v>665</v>
      </c>
      <c r="H498" s="33" t="s">
        <v>71</v>
      </c>
      <c r="J498" s="24" t="s">
        <v>419</v>
      </c>
      <c r="K498" s="51">
        <v>45957.0</v>
      </c>
      <c r="L498" s="23"/>
      <c r="M498" s="23"/>
      <c r="N498" s="23"/>
      <c r="O498" s="17">
        <v>45957.0</v>
      </c>
    </row>
    <row r="499">
      <c r="A499" s="16">
        <f t="shared" si="1"/>
        <v>498</v>
      </c>
      <c r="B499" s="17">
        <v>45469.0</v>
      </c>
      <c r="C499" s="18" t="s">
        <v>87</v>
      </c>
      <c r="D499" s="24" t="s">
        <v>666</v>
      </c>
      <c r="H499" s="33" t="s">
        <v>27</v>
      </c>
      <c r="J499" s="24" t="s">
        <v>419</v>
      </c>
      <c r="K499" s="24" t="s">
        <v>667</v>
      </c>
      <c r="L499" s="23"/>
      <c r="M499" s="23"/>
      <c r="N499" s="23"/>
      <c r="O499" s="17">
        <v>45736.0</v>
      </c>
    </row>
    <row r="500">
      <c r="A500" s="16">
        <f t="shared" si="1"/>
        <v>499</v>
      </c>
      <c r="B500" s="17">
        <v>45469.0</v>
      </c>
      <c r="C500" s="18" t="s">
        <v>110</v>
      </c>
      <c r="D500" s="24" t="s">
        <v>668</v>
      </c>
      <c r="H500" s="18" t="s">
        <v>27</v>
      </c>
      <c r="J500" s="22"/>
      <c r="K500" s="22"/>
      <c r="L500" s="23"/>
      <c r="M500" s="23"/>
      <c r="N500" s="23"/>
      <c r="O500" s="26">
        <v>45476.0</v>
      </c>
    </row>
    <row r="501">
      <c r="A501" s="16">
        <f t="shared" si="1"/>
        <v>500</v>
      </c>
      <c r="B501" s="17">
        <v>45469.0</v>
      </c>
      <c r="C501" s="18" t="s">
        <v>92</v>
      </c>
      <c r="D501" s="24" t="s">
        <v>669</v>
      </c>
      <c r="H501" s="40" t="s">
        <v>71</v>
      </c>
      <c r="J501" s="22"/>
      <c r="K501" s="22"/>
      <c r="L501" s="23"/>
      <c r="M501" s="23"/>
      <c r="N501" s="23"/>
      <c r="O501" s="26">
        <v>45476.0</v>
      </c>
    </row>
    <row r="502">
      <c r="A502" s="16">
        <f t="shared" si="1"/>
        <v>501</v>
      </c>
      <c r="B502" s="17">
        <v>45469.0</v>
      </c>
      <c r="C502" s="18" t="s">
        <v>110</v>
      </c>
      <c r="D502" s="24" t="s">
        <v>670</v>
      </c>
      <c r="H502" s="40" t="s">
        <v>348</v>
      </c>
      <c r="J502" s="22"/>
      <c r="K502" s="24" t="s">
        <v>671</v>
      </c>
      <c r="L502" s="23"/>
      <c r="M502" s="23"/>
      <c r="N502" s="23"/>
      <c r="O502" s="23"/>
    </row>
    <row r="503">
      <c r="A503" s="16">
        <f t="shared" si="1"/>
        <v>502</v>
      </c>
      <c r="B503" s="17">
        <v>45471.0</v>
      </c>
      <c r="C503" s="18" t="s">
        <v>312</v>
      </c>
      <c r="D503" s="24" t="s">
        <v>672</v>
      </c>
      <c r="H503" s="33" t="s">
        <v>31</v>
      </c>
      <c r="J503" s="24" t="s">
        <v>415</v>
      </c>
      <c r="K503" s="24" t="s">
        <v>617</v>
      </c>
      <c r="L503" s="23"/>
      <c r="M503" s="23"/>
      <c r="N503" s="23"/>
      <c r="O503" s="17">
        <v>45553.0</v>
      </c>
    </row>
    <row r="504">
      <c r="A504" s="16">
        <f t="shared" si="1"/>
        <v>503</v>
      </c>
      <c r="B504" s="17">
        <v>45471.0</v>
      </c>
      <c r="C504" s="18" t="s">
        <v>312</v>
      </c>
      <c r="D504" s="24" t="s">
        <v>673</v>
      </c>
      <c r="H504" s="40" t="s">
        <v>348</v>
      </c>
      <c r="J504" s="22"/>
      <c r="K504" s="22"/>
      <c r="L504" s="23"/>
      <c r="M504" s="23"/>
      <c r="N504" s="23"/>
      <c r="O504" s="23"/>
    </row>
    <row r="505">
      <c r="A505" s="16">
        <f t="shared" si="1"/>
        <v>504</v>
      </c>
      <c r="B505" s="17">
        <v>45471.0</v>
      </c>
      <c r="C505" s="18" t="s">
        <v>87</v>
      </c>
      <c r="D505" s="18" t="s">
        <v>674</v>
      </c>
      <c r="H505" s="33" t="s">
        <v>71</v>
      </c>
      <c r="J505" s="22"/>
      <c r="K505" s="22"/>
      <c r="L505" s="23"/>
      <c r="M505" s="23"/>
      <c r="N505" s="23"/>
      <c r="O505" s="17">
        <v>45490.0</v>
      </c>
    </row>
    <row r="506">
      <c r="A506" s="16">
        <f t="shared" si="1"/>
        <v>505</v>
      </c>
      <c r="B506" s="17">
        <v>45471.0</v>
      </c>
      <c r="C506" s="18" t="s">
        <v>87</v>
      </c>
      <c r="D506" s="24" t="s">
        <v>675</v>
      </c>
      <c r="H506" s="33" t="s">
        <v>23</v>
      </c>
      <c r="J506" s="22"/>
      <c r="K506" s="24" t="s">
        <v>676</v>
      </c>
      <c r="L506" s="23"/>
      <c r="M506" s="23"/>
      <c r="N506" s="23"/>
      <c r="O506" s="23"/>
    </row>
    <row r="507">
      <c r="A507" s="16">
        <f t="shared" si="1"/>
        <v>506</v>
      </c>
      <c r="B507" s="17">
        <v>45471.0</v>
      </c>
      <c r="C507" s="18" t="s">
        <v>87</v>
      </c>
      <c r="D507" s="24" t="s">
        <v>677</v>
      </c>
      <c r="H507" s="40" t="s">
        <v>71</v>
      </c>
      <c r="J507" s="22"/>
      <c r="K507" s="22"/>
      <c r="L507" s="23"/>
      <c r="M507" s="23"/>
      <c r="N507" s="23"/>
      <c r="O507" s="26">
        <v>45476.0</v>
      </c>
    </row>
    <row r="508">
      <c r="A508" s="16">
        <f t="shared" si="1"/>
        <v>507</v>
      </c>
      <c r="B508" s="17">
        <v>45474.0</v>
      </c>
      <c r="C508" s="18" t="s">
        <v>110</v>
      </c>
      <c r="D508" s="24" t="s">
        <v>678</v>
      </c>
      <c r="H508" s="40" t="s">
        <v>348</v>
      </c>
      <c r="J508" s="22"/>
      <c r="K508" s="22"/>
      <c r="L508" s="23"/>
      <c r="M508" s="23"/>
      <c r="N508" s="23"/>
      <c r="O508" s="26">
        <v>45476.0</v>
      </c>
    </row>
    <row r="509">
      <c r="A509" s="16">
        <f t="shared" si="1"/>
        <v>508</v>
      </c>
      <c r="B509" s="17">
        <v>45474.0</v>
      </c>
      <c r="C509" s="18" t="s">
        <v>87</v>
      </c>
      <c r="D509" s="24" t="s">
        <v>679</v>
      </c>
      <c r="H509" s="40" t="s">
        <v>71</v>
      </c>
      <c r="J509" s="22"/>
      <c r="K509" s="22"/>
      <c r="L509" s="23"/>
      <c r="M509" s="23"/>
      <c r="N509" s="23"/>
      <c r="O509" s="17">
        <v>45490.0</v>
      </c>
    </row>
    <row r="510">
      <c r="A510" s="16">
        <f t="shared" si="1"/>
        <v>509</v>
      </c>
      <c r="B510" s="17">
        <v>45474.0</v>
      </c>
      <c r="C510" s="18" t="s">
        <v>110</v>
      </c>
      <c r="D510" s="24" t="s">
        <v>680</v>
      </c>
      <c r="H510" s="40" t="s">
        <v>348</v>
      </c>
      <c r="J510" s="22"/>
      <c r="K510" s="22"/>
      <c r="L510" s="23"/>
      <c r="M510" s="23"/>
      <c r="N510" s="23"/>
      <c r="O510" s="23"/>
    </row>
    <row r="511">
      <c r="A511" s="16">
        <f t="shared" si="1"/>
        <v>510</v>
      </c>
      <c r="B511" s="17">
        <v>45474.0</v>
      </c>
      <c r="C511" s="18" t="s">
        <v>110</v>
      </c>
      <c r="D511" s="24" t="s">
        <v>681</v>
      </c>
      <c r="H511" s="40" t="s">
        <v>27</v>
      </c>
      <c r="J511" s="24" t="s">
        <v>457</v>
      </c>
      <c r="K511" s="24" t="s">
        <v>682</v>
      </c>
      <c r="L511" s="23"/>
      <c r="M511" s="23"/>
      <c r="N511" s="23"/>
      <c r="O511" s="23"/>
    </row>
    <row r="512">
      <c r="A512" s="16">
        <f t="shared" si="1"/>
        <v>511</v>
      </c>
      <c r="B512" s="17">
        <v>45474.0</v>
      </c>
      <c r="C512" s="18" t="s">
        <v>110</v>
      </c>
      <c r="D512" s="24" t="s">
        <v>683</v>
      </c>
      <c r="H512" s="33" t="s">
        <v>27</v>
      </c>
      <c r="J512" s="24" t="s">
        <v>419</v>
      </c>
      <c r="K512" s="22"/>
      <c r="L512" s="23"/>
      <c r="M512" s="23"/>
      <c r="N512" s="23"/>
      <c r="O512" s="17">
        <v>45733.0</v>
      </c>
    </row>
    <row r="513">
      <c r="A513" s="16">
        <f t="shared" si="1"/>
        <v>512</v>
      </c>
      <c r="B513" s="17">
        <v>45474.0</v>
      </c>
      <c r="C513" s="18" t="s">
        <v>110</v>
      </c>
      <c r="D513" s="24" t="s">
        <v>684</v>
      </c>
      <c r="H513" s="33" t="s">
        <v>27</v>
      </c>
      <c r="J513" s="24" t="s">
        <v>419</v>
      </c>
      <c r="K513" s="22"/>
      <c r="L513" s="23"/>
      <c r="M513" s="23"/>
      <c r="N513" s="23"/>
      <c r="O513" s="17">
        <v>45733.0</v>
      </c>
    </row>
    <row r="514">
      <c r="A514" s="16">
        <f t="shared" si="1"/>
        <v>513</v>
      </c>
      <c r="B514" s="17">
        <v>45475.0</v>
      </c>
      <c r="C514" s="18" t="s">
        <v>110</v>
      </c>
      <c r="D514" s="24" t="s">
        <v>685</v>
      </c>
      <c r="H514" s="40" t="s">
        <v>348</v>
      </c>
      <c r="J514" s="22"/>
      <c r="K514" s="22"/>
      <c r="L514" s="23"/>
      <c r="M514" s="23"/>
      <c r="N514" s="23"/>
      <c r="O514" s="23"/>
    </row>
    <row r="515">
      <c r="A515" s="16">
        <f t="shared" si="1"/>
        <v>514</v>
      </c>
      <c r="B515" s="17">
        <v>45475.0</v>
      </c>
      <c r="C515" s="18" t="s">
        <v>110</v>
      </c>
      <c r="D515" s="24" t="s">
        <v>686</v>
      </c>
      <c r="H515" s="33" t="s">
        <v>71</v>
      </c>
      <c r="J515" s="24" t="s">
        <v>419</v>
      </c>
      <c r="K515" s="51">
        <v>45957.0</v>
      </c>
      <c r="L515" s="23"/>
      <c r="M515" s="23"/>
      <c r="N515" s="23"/>
      <c r="O515" s="17">
        <v>45957.0</v>
      </c>
    </row>
    <row r="516">
      <c r="A516" s="16">
        <f t="shared" si="1"/>
        <v>515</v>
      </c>
      <c r="B516" s="17">
        <v>45477.0</v>
      </c>
      <c r="C516" s="18" t="s">
        <v>87</v>
      </c>
      <c r="D516" s="24" t="s">
        <v>687</v>
      </c>
      <c r="H516" s="40" t="s">
        <v>27</v>
      </c>
      <c r="J516" s="22"/>
      <c r="K516" s="22"/>
      <c r="L516" s="23"/>
      <c r="M516" s="23"/>
      <c r="N516" s="17">
        <v>45477.0</v>
      </c>
      <c r="O516" s="23"/>
      <c r="Q516" s="18" t="s">
        <v>135</v>
      </c>
    </row>
    <row r="517">
      <c r="A517" s="16">
        <f t="shared" si="1"/>
        <v>516</v>
      </c>
      <c r="B517" s="17">
        <v>45478.0</v>
      </c>
      <c r="C517" s="18" t="s">
        <v>92</v>
      </c>
      <c r="D517" s="24" t="s">
        <v>688</v>
      </c>
      <c r="H517" s="40" t="s">
        <v>348</v>
      </c>
      <c r="J517" s="22"/>
      <c r="K517" s="22"/>
      <c r="L517" s="23"/>
      <c r="M517" s="23"/>
      <c r="N517" s="23"/>
      <c r="O517" s="23"/>
    </row>
    <row r="518">
      <c r="A518" s="16">
        <f t="shared" si="1"/>
        <v>517</v>
      </c>
      <c r="B518" s="17">
        <v>45478.0</v>
      </c>
      <c r="C518" s="18" t="s">
        <v>312</v>
      </c>
      <c r="D518" s="24" t="s">
        <v>689</v>
      </c>
      <c r="H518" s="40" t="s">
        <v>348</v>
      </c>
      <c r="J518" s="24" t="s">
        <v>135</v>
      </c>
      <c r="K518" s="22"/>
      <c r="L518" s="23"/>
      <c r="M518" s="23"/>
      <c r="N518" s="23"/>
      <c r="O518" s="23"/>
    </row>
    <row r="519">
      <c r="A519" s="16">
        <f t="shared" si="1"/>
        <v>518</v>
      </c>
      <c r="B519" s="17">
        <v>45481.0</v>
      </c>
      <c r="C519" s="18" t="s">
        <v>92</v>
      </c>
      <c r="D519" s="24" t="s">
        <v>690</v>
      </c>
      <c r="H519" s="40" t="s">
        <v>71</v>
      </c>
      <c r="J519" s="22"/>
      <c r="K519" s="22"/>
      <c r="L519" s="23"/>
      <c r="M519" s="23"/>
      <c r="N519" s="17">
        <v>45483.0</v>
      </c>
      <c r="O519" s="23"/>
    </row>
    <row r="520">
      <c r="A520" s="16">
        <f t="shared" si="1"/>
        <v>519</v>
      </c>
      <c r="B520" s="17">
        <v>45482.0</v>
      </c>
      <c r="C520" s="18" t="s">
        <v>110</v>
      </c>
      <c r="D520" s="24" t="s">
        <v>691</v>
      </c>
      <c r="H520" s="18" t="s">
        <v>46</v>
      </c>
      <c r="I520" s="16"/>
      <c r="J520" s="24"/>
      <c r="K520" s="22"/>
      <c r="L520" s="23"/>
      <c r="M520" s="23"/>
      <c r="N520" s="23"/>
      <c r="O520" s="23"/>
      <c r="T520" s="25"/>
    </row>
    <row r="521">
      <c r="A521" s="16">
        <f t="shared" si="1"/>
        <v>520</v>
      </c>
      <c r="B521" s="17">
        <v>45484.0</v>
      </c>
      <c r="C521" s="18" t="s">
        <v>92</v>
      </c>
      <c r="D521" s="24" t="s">
        <v>692</v>
      </c>
      <c r="H521" s="33" t="s">
        <v>46</v>
      </c>
      <c r="J521" s="22"/>
      <c r="K521" s="22"/>
      <c r="L521" s="23"/>
      <c r="M521" s="23"/>
      <c r="N521" s="23"/>
      <c r="O521" s="23"/>
    </row>
    <row r="522">
      <c r="A522" s="16">
        <f t="shared" si="1"/>
        <v>521</v>
      </c>
      <c r="B522" s="17">
        <v>45485.0</v>
      </c>
      <c r="C522" s="18" t="s">
        <v>110</v>
      </c>
      <c r="D522" s="24" t="s">
        <v>693</v>
      </c>
      <c r="H522" s="40" t="s">
        <v>71</v>
      </c>
      <c r="J522" s="22"/>
      <c r="K522" s="24" t="s">
        <v>694</v>
      </c>
      <c r="L522" s="23"/>
      <c r="M522" s="23"/>
      <c r="N522" s="23"/>
      <c r="O522" s="23"/>
    </row>
    <row r="523">
      <c r="A523" s="16">
        <f t="shared" si="1"/>
        <v>522</v>
      </c>
      <c r="B523" s="17">
        <v>45485.0</v>
      </c>
      <c r="C523" s="18" t="s">
        <v>453</v>
      </c>
      <c r="D523" s="18" t="s">
        <v>695</v>
      </c>
      <c r="H523" s="40" t="s">
        <v>71</v>
      </c>
      <c r="J523" s="22"/>
      <c r="K523" s="22"/>
      <c r="L523" s="23"/>
      <c r="M523" s="23"/>
      <c r="N523" s="17">
        <v>45490.0</v>
      </c>
      <c r="O523" s="23"/>
    </row>
    <row r="524">
      <c r="A524" s="16">
        <f t="shared" si="1"/>
        <v>523</v>
      </c>
      <c r="B524" s="17">
        <v>45488.0</v>
      </c>
      <c r="C524" s="18" t="s">
        <v>92</v>
      </c>
      <c r="D524" s="24" t="s">
        <v>696</v>
      </c>
      <c r="H524" s="18" t="s">
        <v>27</v>
      </c>
      <c r="J524" s="22"/>
      <c r="K524" s="22"/>
      <c r="L524" s="23"/>
      <c r="M524" s="23"/>
      <c r="N524" s="17">
        <v>45496.0</v>
      </c>
      <c r="O524" s="23"/>
    </row>
    <row r="525">
      <c r="A525" s="16">
        <f t="shared" si="1"/>
        <v>524</v>
      </c>
      <c r="B525" s="17">
        <v>45488.0</v>
      </c>
      <c r="C525" s="18" t="s">
        <v>110</v>
      </c>
      <c r="D525" s="24" t="s">
        <v>697</v>
      </c>
      <c r="H525" s="40" t="s">
        <v>348</v>
      </c>
      <c r="J525" s="22"/>
      <c r="K525" s="22"/>
      <c r="L525" s="23"/>
      <c r="M525" s="23"/>
      <c r="N525" s="23"/>
      <c r="O525" s="23"/>
    </row>
    <row r="526">
      <c r="A526" s="16">
        <f t="shared" si="1"/>
        <v>525</v>
      </c>
      <c r="B526" s="17">
        <v>45488.0</v>
      </c>
      <c r="C526" s="18" t="s">
        <v>110</v>
      </c>
      <c r="D526" s="24" t="s">
        <v>698</v>
      </c>
      <c r="H526" s="18" t="s">
        <v>27</v>
      </c>
      <c r="J526" s="22"/>
      <c r="K526" s="22"/>
      <c r="L526" s="23"/>
      <c r="M526" s="23"/>
      <c r="N526" s="17">
        <v>45490.0</v>
      </c>
      <c r="O526" s="17">
        <v>45511.0</v>
      </c>
    </row>
    <row r="527">
      <c r="A527" s="16">
        <f t="shared" si="1"/>
        <v>526</v>
      </c>
      <c r="B527" s="17">
        <v>45488.0</v>
      </c>
      <c r="C527" s="18" t="s">
        <v>87</v>
      </c>
      <c r="D527" s="24" t="s">
        <v>699</v>
      </c>
      <c r="H527" s="40" t="s">
        <v>130</v>
      </c>
      <c r="J527" s="22"/>
      <c r="K527" s="22"/>
      <c r="L527" s="23"/>
      <c r="M527" s="23"/>
      <c r="N527" s="17">
        <v>45496.0</v>
      </c>
      <c r="O527" s="17">
        <v>45511.0</v>
      </c>
    </row>
    <row r="528">
      <c r="A528" s="16">
        <f t="shared" si="1"/>
        <v>527</v>
      </c>
      <c r="B528" s="17">
        <v>45489.0</v>
      </c>
      <c r="C528" s="18" t="s">
        <v>92</v>
      </c>
      <c r="D528" s="24" t="s">
        <v>700</v>
      </c>
      <c r="H528" s="40" t="s">
        <v>71</v>
      </c>
      <c r="J528" s="22"/>
      <c r="K528" s="22"/>
      <c r="L528" s="23"/>
      <c r="M528" s="23"/>
      <c r="N528" s="23"/>
      <c r="O528" s="17">
        <v>45511.0</v>
      </c>
    </row>
    <row r="529">
      <c r="A529" s="16">
        <f t="shared" si="1"/>
        <v>528</v>
      </c>
      <c r="B529" s="17">
        <v>45490.0</v>
      </c>
      <c r="C529" s="18" t="s">
        <v>110</v>
      </c>
      <c r="D529" s="24" t="s">
        <v>701</v>
      </c>
      <c r="H529" s="40" t="s">
        <v>298</v>
      </c>
      <c r="J529" s="22"/>
      <c r="K529" s="18" t="s">
        <v>702</v>
      </c>
      <c r="L529" s="23"/>
      <c r="M529" s="23"/>
      <c r="N529" s="23"/>
      <c r="O529" s="23"/>
    </row>
    <row r="530">
      <c r="A530" s="16">
        <f t="shared" si="1"/>
        <v>529</v>
      </c>
      <c r="B530" s="17">
        <v>45492.0</v>
      </c>
      <c r="C530" s="18" t="s">
        <v>110</v>
      </c>
      <c r="D530" s="59" t="s">
        <v>703</v>
      </c>
      <c r="H530" s="40" t="s">
        <v>27</v>
      </c>
      <c r="J530" s="22"/>
      <c r="K530" s="24" t="s">
        <v>704</v>
      </c>
      <c r="L530" s="23"/>
      <c r="M530" s="23"/>
      <c r="N530" s="23"/>
      <c r="O530" s="23"/>
    </row>
    <row r="531">
      <c r="A531" s="16">
        <f t="shared" si="1"/>
        <v>530</v>
      </c>
      <c r="B531" s="17">
        <v>45496.0</v>
      </c>
      <c r="C531" s="18" t="s">
        <v>110</v>
      </c>
      <c r="D531" s="24" t="s">
        <v>705</v>
      </c>
      <c r="H531" s="40" t="s">
        <v>71</v>
      </c>
      <c r="J531" s="24" t="s">
        <v>415</v>
      </c>
      <c r="K531" s="22"/>
      <c r="L531" s="23"/>
      <c r="M531" s="23"/>
      <c r="N531" s="23"/>
      <c r="O531" s="17">
        <v>45546.0</v>
      </c>
      <c r="P531" s="50">
        <v>45546.0</v>
      </c>
      <c r="R531" s="18" t="s">
        <v>416</v>
      </c>
      <c r="T531" s="18" t="s">
        <v>587</v>
      </c>
    </row>
    <row r="532">
      <c r="A532" s="16">
        <f t="shared" si="1"/>
        <v>531</v>
      </c>
      <c r="B532" s="17">
        <v>45496.0</v>
      </c>
      <c r="C532" s="18" t="s">
        <v>110</v>
      </c>
      <c r="D532" s="24" t="s">
        <v>706</v>
      </c>
      <c r="H532" s="40" t="s">
        <v>27</v>
      </c>
      <c r="J532" s="22"/>
      <c r="K532" s="22"/>
      <c r="L532" s="23"/>
      <c r="M532" s="23"/>
      <c r="N532" s="17">
        <v>45496.0</v>
      </c>
      <c r="O532" s="23"/>
    </row>
    <row r="533">
      <c r="A533" s="16">
        <f t="shared" si="1"/>
        <v>532</v>
      </c>
      <c r="B533" s="17">
        <v>45496.0</v>
      </c>
      <c r="C533" s="18" t="s">
        <v>110</v>
      </c>
      <c r="D533" s="24" t="s">
        <v>707</v>
      </c>
      <c r="H533" s="18" t="s">
        <v>27</v>
      </c>
      <c r="J533" s="22"/>
      <c r="K533" s="22"/>
      <c r="L533" s="23"/>
      <c r="M533" s="23"/>
      <c r="N533" s="23"/>
      <c r="O533" s="17">
        <v>45511.0</v>
      </c>
    </row>
    <row r="534">
      <c r="A534" s="16">
        <f t="shared" si="1"/>
        <v>533</v>
      </c>
      <c r="B534" s="17">
        <v>45499.0</v>
      </c>
      <c r="C534" s="18" t="s">
        <v>87</v>
      </c>
      <c r="D534" s="24" t="s">
        <v>708</v>
      </c>
      <c r="H534" s="40" t="s">
        <v>71</v>
      </c>
      <c r="J534" s="22"/>
      <c r="K534" s="22"/>
      <c r="L534" s="23"/>
      <c r="M534" s="23"/>
      <c r="N534" s="23"/>
      <c r="O534" s="17">
        <v>45511.0</v>
      </c>
    </row>
    <row r="535">
      <c r="A535" s="16">
        <f t="shared" si="1"/>
        <v>534</v>
      </c>
      <c r="B535" s="17">
        <v>45499.0</v>
      </c>
      <c r="C535" s="18" t="s">
        <v>87</v>
      </c>
      <c r="D535" s="24" t="s">
        <v>709</v>
      </c>
      <c r="H535" s="40" t="s">
        <v>23</v>
      </c>
      <c r="J535" s="22"/>
      <c r="K535" s="24" t="s">
        <v>710</v>
      </c>
      <c r="L535" s="23"/>
      <c r="M535" s="23"/>
      <c r="N535" s="23"/>
      <c r="O535" s="23"/>
    </row>
    <row r="536">
      <c r="A536" s="16">
        <f t="shared" si="1"/>
        <v>535</v>
      </c>
      <c r="B536" s="17">
        <v>45499.0</v>
      </c>
      <c r="C536" s="18" t="s">
        <v>87</v>
      </c>
      <c r="D536" s="24" t="s">
        <v>711</v>
      </c>
      <c r="H536" s="18" t="s">
        <v>27</v>
      </c>
      <c r="J536" s="24" t="s">
        <v>415</v>
      </c>
      <c r="K536" s="24" t="s">
        <v>712</v>
      </c>
      <c r="L536" s="23"/>
      <c r="M536" s="23"/>
      <c r="N536" s="23"/>
      <c r="O536" s="60">
        <v>45649.0</v>
      </c>
      <c r="P536" s="32"/>
    </row>
    <row r="537">
      <c r="A537" s="16">
        <f t="shared" si="1"/>
        <v>536</v>
      </c>
      <c r="B537" s="17">
        <v>45499.0</v>
      </c>
      <c r="C537" s="18" t="s">
        <v>87</v>
      </c>
      <c r="D537" s="18" t="s">
        <v>713</v>
      </c>
      <c r="H537" s="40" t="s">
        <v>71</v>
      </c>
      <c r="J537" s="22"/>
      <c r="K537" s="22"/>
      <c r="L537" s="23"/>
      <c r="M537" s="23"/>
      <c r="N537" s="23"/>
      <c r="O537" s="17">
        <v>45511.0</v>
      </c>
    </row>
    <row r="538">
      <c r="A538" s="16">
        <f t="shared" si="1"/>
        <v>537</v>
      </c>
      <c r="B538" s="17">
        <v>45499.0</v>
      </c>
      <c r="C538" s="18" t="s">
        <v>87</v>
      </c>
      <c r="D538" s="24" t="s">
        <v>714</v>
      </c>
      <c r="H538" s="40" t="s">
        <v>71</v>
      </c>
      <c r="J538" s="22"/>
      <c r="K538" s="22"/>
      <c r="L538" s="23"/>
      <c r="M538" s="23"/>
      <c r="N538" s="23"/>
      <c r="O538" s="17">
        <v>45511.0</v>
      </c>
    </row>
    <row r="539">
      <c r="A539" s="16">
        <f t="shared" si="1"/>
        <v>538</v>
      </c>
      <c r="B539" s="17">
        <v>45499.0</v>
      </c>
      <c r="C539" s="18" t="s">
        <v>110</v>
      </c>
      <c r="D539" s="24" t="s">
        <v>715</v>
      </c>
      <c r="H539" s="33" t="s">
        <v>27</v>
      </c>
      <c r="J539" s="24" t="s">
        <v>419</v>
      </c>
      <c r="K539" s="22"/>
      <c r="L539" s="23"/>
      <c r="M539" s="23"/>
      <c r="N539" s="23"/>
      <c r="O539" s="17">
        <v>45733.0</v>
      </c>
    </row>
    <row r="540">
      <c r="A540" s="16">
        <f t="shared" si="1"/>
        <v>539</v>
      </c>
      <c r="B540" s="17">
        <v>45502.0</v>
      </c>
      <c r="C540" s="18" t="s">
        <v>110</v>
      </c>
      <c r="D540" s="18" t="s">
        <v>716</v>
      </c>
      <c r="H540" s="40" t="s">
        <v>31</v>
      </c>
      <c r="J540" s="22"/>
      <c r="K540" s="22"/>
      <c r="L540" s="23"/>
      <c r="M540" s="23"/>
      <c r="N540" s="23"/>
      <c r="O540" s="17">
        <v>45511.0</v>
      </c>
    </row>
    <row r="541">
      <c r="A541" s="16">
        <f t="shared" si="1"/>
        <v>540</v>
      </c>
      <c r="B541" s="17">
        <v>45503.0</v>
      </c>
      <c r="C541" s="18" t="s">
        <v>87</v>
      </c>
      <c r="D541" s="24" t="s">
        <v>717</v>
      </c>
      <c r="H541" s="40" t="s">
        <v>71</v>
      </c>
      <c r="J541" s="24"/>
      <c r="K541" s="22"/>
      <c r="L541" s="23"/>
      <c r="M541" s="23"/>
      <c r="N541" s="23"/>
      <c r="O541" s="17">
        <v>45532.0</v>
      </c>
    </row>
    <row r="542">
      <c r="A542" s="16">
        <f t="shared" si="1"/>
        <v>541</v>
      </c>
      <c r="B542" s="17">
        <v>45503.0</v>
      </c>
      <c r="C542" s="18" t="s">
        <v>110</v>
      </c>
      <c r="D542" s="61" t="s">
        <v>718</v>
      </c>
      <c r="H542" s="18" t="s">
        <v>27</v>
      </c>
      <c r="J542" s="22"/>
      <c r="K542" s="22"/>
      <c r="L542" s="23"/>
      <c r="M542" s="23"/>
      <c r="N542" s="23"/>
      <c r="O542" s="62">
        <v>45518.0</v>
      </c>
      <c r="P542" s="32"/>
    </row>
    <row r="543">
      <c r="A543" s="16">
        <f t="shared" si="1"/>
        <v>542</v>
      </c>
      <c r="B543" s="17">
        <v>45504.0</v>
      </c>
      <c r="C543" s="18" t="s">
        <v>312</v>
      </c>
      <c r="D543" s="30" t="s">
        <v>719</v>
      </c>
      <c r="H543" s="33" t="s">
        <v>46</v>
      </c>
      <c r="J543" s="22"/>
      <c r="K543" s="22"/>
      <c r="L543" s="23"/>
      <c r="M543" s="23"/>
      <c r="N543" s="23"/>
      <c r="O543" s="62">
        <v>45518.0</v>
      </c>
      <c r="P543" s="32"/>
    </row>
    <row r="544">
      <c r="A544" s="16">
        <f t="shared" si="1"/>
        <v>543</v>
      </c>
      <c r="B544" s="17">
        <v>45504.0</v>
      </c>
      <c r="C544" s="18" t="s">
        <v>312</v>
      </c>
      <c r="D544" s="29" t="s">
        <v>720</v>
      </c>
      <c r="H544" s="40" t="s">
        <v>31</v>
      </c>
      <c r="J544" s="24" t="s">
        <v>415</v>
      </c>
      <c r="K544" s="22"/>
      <c r="L544" s="23"/>
      <c r="M544" s="23"/>
      <c r="N544" s="23"/>
      <c r="O544" s="17">
        <v>45546.0</v>
      </c>
      <c r="P544" s="50">
        <v>45546.0</v>
      </c>
      <c r="R544" s="18" t="s">
        <v>416</v>
      </c>
      <c r="T544" s="36" t="s">
        <v>721</v>
      </c>
    </row>
    <row r="545">
      <c r="A545" s="16">
        <f t="shared" si="1"/>
        <v>544</v>
      </c>
      <c r="B545" s="17">
        <v>45504.0</v>
      </c>
      <c r="C545" s="18" t="s">
        <v>312</v>
      </c>
      <c r="D545" s="24" t="s">
        <v>722</v>
      </c>
      <c r="H545" s="40" t="s">
        <v>31</v>
      </c>
      <c r="J545" s="24" t="s">
        <v>415</v>
      </c>
      <c r="K545" s="22"/>
      <c r="L545" s="23"/>
      <c r="M545" s="23"/>
      <c r="N545" s="23"/>
      <c r="O545" s="17">
        <v>45546.0</v>
      </c>
      <c r="P545" s="50">
        <v>45546.0</v>
      </c>
      <c r="R545" s="18" t="s">
        <v>416</v>
      </c>
      <c r="T545" s="36" t="s">
        <v>723</v>
      </c>
    </row>
    <row r="546">
      <c r="A546" s="16">
        <f t="shared" si="1"/>
        <v>545</v>
      </c>
      <c r="B546" s="17">
        <v>45503.0</v>
      </c>
      <c r="C546" s="18" t="s">
        <v>92</v>
      </c>
      <c r="D546" s="24" t="s">
        <v>724</v>
      </c>
      <c r="H546" s="33" t="s">
        <v>27</v>
      </c>
      <c r="J546" s="24" t="s">
        <v>415</v>
      </c>
      <c r="K546" s="24" t="s">
        <v>725</v>
      </c>
      <c r="L546" s="23"/>
      <c r="M546" s="23"/>
      <c r="N546" s="23"/>
      <c r="O546" s="17">
        <v>45666.0</v>
      </c>
    </row>
    <row r="547">
      <c r="A547" s="16">
        <f t="shared" si="1"/>
        <v>546</v>
      </c>
      <c r="B547" s="17">
        <v>45511.0</v>
      </c>
      <c r="C547" s="18" t="s">
        <v>87</v>
      </c>
      <c r="D547" s="18" t="s">
        <v>726</v>
      </c>
      <c r="H547" s="40" t="s">
        <v>348</v>
      </c>
      <c r="J547" s="22"/>
      <c r="K547" s="22"/>
      <c r="L547" s="23"/>
      <c r="M547" s="23"/>
      <c r="N547" s="23"/>
      <c r="O547" s="62">
        <v>45518.0</v>
      </c>
      <c r="P547" s="32"/>
    </row>
    <row r="548">
      <c r="A548" s="16">
        <f t="shared" si="1"/>
        <v>547</v>
      </c>
      <c r="B548" s="17">
        <v>45511.0</v>
      </c>
      <c r="C548" s="18" t="s">
        <v>87</v>
      </c>
      <c r="D548" s="24" t="s">
        <v>727</v>
      </c>
      <c r="H548" s="40" t="s">
        <v>348</v>
      </c>
      <c r="J548" s="22"/>
      <c r="K548" s="22"/>
      <c r="L548" s="23"/>
      <c r="M548" s="23"/>
      <c r="N548" s="23"/>
      <c r="O548" s="62">
        <v>45518.0</v>
      </c>
      <c r="P548" s="32"/>
    </row>
    <row r="549">
      <c r="A549" s="16">
        <f t="shared" si="1"/>
        <v>548</v>
      </c>
      <c r="B549" s="17">
        <v>45512.0</v>
      </c>
      <c r="C549" s="18" t="s">
        <v>92</v>
      </c>
      <c r="D549" s="24" t="s">
        <v>728</v>
      </c>
      <c r="H549" s="33" t="s">
        <v>348</v>
      </c>
      <c r="J549" s="22"/>
      <c r="K549" s="22"/>
      <c r="L549" s="23"/>
      <c r="M549" s="23"/>
      <c r="N549" s="23"/>
      <c r="O549" s="23"/>
    </row>
    <row r="550">
      <c r="A550" s="16">
        <f t="shared" si="1"/>
        <v>549</v>
      </c>
      <c r="B550" s="17">
        <v>45513.0</v>
      </c>
      <c r="C550" s="18" t="s">
        <v>87</v>
      </c>
      <c r="D550" s="24" t="s">
        <v>729</v>
      </c>
      <c r="H550" s="40" t="s">
        <v>71</v>
      </c>
      <c r="J550" s="24"/>
      <c r="K550" s="22"/>
      <c r="L550" s="23"/>
      <c r="M550" s="23"/>
      <c r="N550" s="23"/>
      <c r="O550" s="17">
        <v>45532.0</v>
      </c>
    </row>
    <row r="551">
      <c r="A551" s="16">
        <f t="shared" si="1"/>
        <v>550</v>
      </c>
      <c r="B551" s="17">
        <v>45513.0</v>
      </c>
      <c r="C551" s="18" t="s">
        <v>110</v>
      </c>
      <c r="D551" s="24" t="s">
        <v>730</v>
      </c>
      <c r="H551" s="18" t="s">
        <v>27</v>
      </c>
      <c r="J551" s="22"/>
      <c r="K551" s="22"/>
      <c r="L551" s="23"/>
      <c r="M551" s="23"/>
      <c r="N551" s="23"/>
      <c r="O551" s="17">
        <v>45516.0</v>
      </c>
    </row>
    <row r="552">
      <c r="A552" s="16">
        <f t="shared" si="1"/>
        <v>551</v>
      </c>
      <c r="B552" s="17">
        <v>45518.0</v>
      </c>
      <c r="C552" s="18" t="s">
        <v>110</v>
      </c>
      <c r="D552" s="24" t="s">
        <v>731</v>
      </c>
      <c r="H552" s="18" t="s">
        <v>27</v>
      </c>
      <c r="J552" s="24" t="s">
        <v>457</v>
      </c>
      <c r="K552" s="24" t="s">
        <v>732</v>
      </c>
      <c r="L552" s="23"/>
      <c r="M552" s="23"/>
      <c r="N552" s="17">
        <v>45530.0</v>
      </c>
      <c r="O552" s="23"/>
    </row>
    <row r="553">
      <c r="A553" s="16">
        <f t="shared" si="1"/>
        <v>552</v>
      </c>
      <c r="B553" s="17">
        <v>45519.0</v>
      </c>
      <c r="C553" s="18" t="s">
        <v>110</v>
      </c>
      <c r="D553" s="24" t="s">
        <v>733</v>
      </c>
      <c r="H553" s="18" t="s">
        <v>27</v>
      </c>
      <c r="J553" s="24" t="s">
        <v>415</v>
      </c>
      <c r="K553" s="22"/>
      <c r="L553" s="23"/>
      <c r="M553" s="23"/>
      <c r="N553" s="23"/>
      <c r="O553" s="17">
        <v>45546.0</v>
      </c>
      <c r="P553" s="50">
        <v>45546.0</v>
      </c>
      <c r="R553" s="18" t="s">
        <v>416</v>
      </c>
      <c r="T553" s="36" t="s">
        <v>734</v>
      </c>
    </row>
    <row r="554">
      <c r="A554" s="16">
        <f t="shared" si="1"/>
        <v>553</v>
      </c>
      <c r="B554" s="17">
        <v>45519.0</v>
      </c>
      <c r="C554" s="18" t="s">
        <v>110</v>
      </c>
      <c r="D554" s="24" t="s">
        <v>735</v>
      </c>
      <c r="H554" s="40" t="s">
        <v>31</v>
      </c>
      <c r="J554" s="24" t="s">
        <v>415</v>
      </c>
      <c r="K554" s="22"/>
      <c r="L554" s="23"/>
      <c r="M554" s="23"/>
      <c r="N554" s="23"/>
      <c r="O554" s="17">
        <v>45546.0</v>
      </c>
      <c r="P554" s="50">
        <v>45546.0</v>
      </c>
      <c r="R554" s="18" t="s">
        <v>416</v>
      </c>
      <c r="T554" s="18" t="s">
        <v>587</v>
      </c>
    </row>
    <row r="555">
      <c r="A555" s="16">
        <f t="shared" si="1"/>
        <v>554</v>
      </c>
      <c r="B555" s="17">
        <v>45519.0</v>
      </c>
      <c r="C555" s="18" t="s">
        <v>87</v>
      </c>
      <c r="D555" s="24" t="s">
        <v>736</v>
      </c>
      <c r="H555" s="40" t="s">
        <v>71</v>
      </c>
      <c r="J555" s="24"/>
      <c r="K555" s="22"/>
      <c r="L555" s="23"/>
      <c r="M555" s="23"/>
      <c r="N555" s="23"/>
      <c r="O555" s="17">
        <v>45532.0</v>
      </c>
    </row>
    <row r="556">
      <c r="A556" s="16">
        <f t="shared" si="1"/>
        <v>555</v>
      </c>
      <c r="B556" s="17">
        <v>45519.0</v>
      </c>
      <c r="C556" s="18" t="s">
        <v>87</v>
      </c>
      <c r="D556" s="24" t="s">
        <v>737</v>
      </c>
      <c r="H556" s="40" t="s">
        <v>27</v>
      </c>
      <c r="J556" s="22"/>
      <c r="K556" s="24" t="s">
        <v>738</v>
      </c>
      <c r="L556" s="23"/>
      <c r="M556" s="23"/>
      <c r="N556" s="23"/>
      <c r="O556" s="23"/>
    </row>
    <row r="557">
      <c r="A557" s="16">
        <f t="shared" si="1"/>
        <v>556</v>
      </c>
      <c r="B557" s="17">
        <v>45527.0</v>
      </c>
      <c r="C557" s="18" t="s">
        <v>110</v>
      </c>
      <c r="D557" s="24" t="s">
        <v>739</v>
      </c>
      <c r="H557" s="18" t="s">
        <v>27</v>
      </c>
      <c r="J557" s="24" t="s">
        <v>415</v>
      </c>
      <c r="K557" s="24" t="s">
        <v>740</v>
      </c>
      <c r="L557" s="23"/>
      <c r="M557" s="23"/>
      <c r="N557" s="23"/>
      <c r="O557" s="17">
        <v>45588.0</v>
      </c>
      <c r="T557" s="18" t="s">
        <v>741</v>
      </c>
    </row>
    <row r="558">
      <c r="A558" s="16">
        <f t="shared" si="1"/>
        <v>557</v>
      </c>
      <c r="B558" s="17">
        <v>45527.0</v>
      </c>
      <c r="C558" s="18" t="s">
        <v>110</v>
      </c>
      <c r="D558" s="24" t="s">
        <v>742</v>
      </c>
      <c r="H558" s="18" t="s">
        <v>27</v>
      </c>
      <c r="J558" s="22"/>
      <c r="K558" s="24" t="s">
        <v>743</v>
      </c>
      <c r="L558" s="23"/>
      <c r="M558" s="23"/>
      <c r="N558" s="17">
        <v>45531.0</v>
      </c>
      <c r="O558" s="17">
        <v>45540.0</v>
      </c>
    </row>
    <row r="559">
      <c r="A559" s="16">
        <f t="shared" si="1"/>
        <v>558</v>
      </c>
      <c r="B559" s="17">
        <v>45527.0</v>
      </c>
      <c r="C559" s="18" t="s">
        <v>110</v>
      </c>
      <c r="D559" s="36" t="s">
        <v>744</v>
      </c>
      <c r="H559" s="18" t="s">
        <v>27</v>
      </c>
      <c r="J559" s="24" t="s">
        <v>415</v>
      </c>
      <c r="K559" s="24" t="s">
        <v>745</v>
      </c>
      <c r="L559" s="23"/>
      <c r="M559" s="23"/>
      <c r="N559" s="23"/>
      <c r="O559" s="17">
        <v>45560.0</v>
      </c>
      <c r="T559" s="18" t="s">
        <v>746</v>
      </c>
    </row>
    <row r="560">
      <c r="A560" s="16">
        <f t="shared" si="1"/>
        <v>559</v>
      </c>
      <c r="B560" s="17">
        <v>45532.0</v>
      </c>
      <c r="C560" s="32" t="s">
        <v>87</v>
      </c>
      <c r="D560" s="63" t="s">
        <v>747</v>
      </c>
      <c r="H560" s="33" t="s">
        <v>71</v>
      </c>
      <c r="J560" s="24" t="s">
        <v>415</v>
      </c>
      <c r="K560" s="22"/>
      <c r="L560" s="23"/>
      <c r="M560" s="23"/>
      <c r="N560" s="23"/>
      <c r="O560" s="17">
        <v>45546.0</v>
      </c>
      <c r="P560" s="50">
        <v>45546.0</v>
      </c>
      <c r="R560" s="18" t="s">
        <v>416</v>
      </c>
      <c r="T560" s="36" t="s">
        <v>748</v>
      </c>
    </row>
    <row r="561">
      <c r="A561" s="16">
        <f t="shared" si="1"/>
        <v>560</v>
      </c>
      <c r="B561" s="17">
        <v>45533.0</v>
      </c>
      <c r="C561" s="18" t="s">
        <v>110</v>
      </c>
      <c r="D561" s="24" t="s">
        <v>749</v>
      </c>
      <c r="J561" s="22"/>
      <c r="K561" s="22"/>
      <c r="L561" s="23"/>
      <c r="M561" s="23"/>
      <c r="N561" s="23"/>
      <c r="O561" s="23"/>
    </row>
    <row r="562">
      <c r="A562" s="16">
        <f t="shared" si="1"/>
        <v>561</v>
      </c>
      <c r="B562" s="17">
        <v>45534.0</v>
      </c>
      <c r="C562" s="32" t="s">
        <v>87</v>
      </c>
      <c r="D562" s="24" t="s">
        <v>750</v>
      </c>
      <c r="H562" s="33" t="s">
        <v>71</v>
      </c>
      <c r="J562" s="24" t="s">
        <v>415</v>
      </c>
      <c r="K562" s="24" t="s">
        <v>617</v>
      </c>
      <c r="L562" s="23"/>
      <c r="M562" s="23"/>
      <c r="N562" s="23"/>
      <c r="O562" s="17">
        <v>45553.0</v>
      </c>
    </row>
    <row r="563">
      <c r="A563" s="16">
        <f t="shared" si="1"/>
        <v>562</v>
      </c>
      <c r="B563" s="17">
        <v>45534.0</v>
      </c>
      <c r="C563" s="18" t="s">
        <v>110</v>
      </c>
      <c r="D563" s="64" t="s">
        <v>751</v>
      </c>
      <c r="J563" s="22"/>
      <c r="K563" s="22"/>
      <c r="L563" s="23"/>
      <c r="M563" s="23"/>
      <c r="N563" s="23"/>
      <c r="O563" s="23"/>
    </row>
    <row r="564">
      <c r="A564" s="16">
        <f t="shared" si="1"/>
        <v>563</v>
      </c>
      <c r="B564" s="17">
        <v>6685645.0</v>
      </c>
      <c r="C564" s="18" t="s">
        <v>752</v>
      </c>
      <c r="D564" s="24" t="s">
        <v>753</v>
      </c>
      <c r="H564" s="33" t="s">
        <v>23</v>
      </c>
      <c r="J564" s="22"/>
      <c r="K564" s="22"/>
      <c r="L564" s="23"/>
      <c r="M564" s="23"/>
      <c r="N564" s="23"/>
      <c r="O564" s="23"/>
    </row>
    <row r="565">
      <c r="A565" s="16">
        <f t="shared" si="1"/>
        <v>564</v>
      </c>
      <c r="B565" s="17">
        <v>45532.0</v>
      </c>
      <c r="C565" s="18" t="s">
        <v>92</v>
      </c>
      <c r="D565" s="24" t="s">
        <v>754</v>
      </c>
      <c r="H565" s="40" t="s">
        <v>27</v>
      </c>
      <c r="J565" s="24" t="s">
        <v>415</v>
      </c>
      <c r="K565" s="22"/>
      <c r="L565" s="23"/>
      <c r="M565" s="23"/>
      <c r="N565" s="17">
        <v>45532.0</v>
      </c>
      <c r="O565" s="23"/>
    </row>
    <row r="566">
      <c r="A566" s="16">
        <f t="shared" si="1"/>
        <v>565</v>
      </c>
      <c r="B566" s="17">
        <v>45532.0</v>
      </c>
      <c r="C566" s="18" t="s">
        <v>312</v>
      </c>
      <c r="D566" s="24" t="s">
        <v>755</v>
      </c>
      <c r="H566" s="40" t="s">
        <v>27</v>
      </c>
      <c r="J566" s="24" t="s">
        <v>415</v>
      </c>
      <c r="K566" s="22"/>
      <c r="L566" s="23"/>
      <c r="M566" s="23"/>
      <c r="N566" s="17">
        <v>45533.0</v>
      </c>
      <c r="O566" s="23"/>
    </row>
    <row r="567">
      <c r="A567" s="16">
        <f t="shared" si="1"/>
        <v>566</v>
      </c>
      <c r="B567" s="17">
        <v>45538.0</v>
      </c>
      <c r="C567" s="32" t="s">
        <v>87</v>
      </c>
      <c r="D567" s="24" t="s">
        <v>756</v>
      </c>
      <c r="H567" s="40" t="s">
        <v>27</v>
      </c>
      <c r="J567" s="24" t="s">
        <v>415</v>
      </c>
      <c r="K567" s="22"/>
      <c r="L567" s="23"/>
      <c r="M567" s="23"/>
      <c r="N567" s="17">
        <v>45538.0</v>
      </c>
      <c r="O567" s="23"/>
    </row>
    <row r="568">
      <c r="A568" s="16">
        <f t="shared" si="1"/>
        <v>567</v>
      </c>
      <c r="B568" s="17">
        <v>45539.0</v>
      </c>
      <c r="C568" s="18" t="s">
        <v>752</v>
      </c>
      <c r="D568" s="24" t="s">
        <v>757</v>
      </c>
      <c r="H568" s="40" t="s">
        <v>27</v>
      </c>
      <c r="J568" s="24" t="s">
        <v>415</v>
      </c>
      <c r="K568" s="22"/>
      <c r="L568" s="23"/>
      <c r="M568" s="23"/>
      <c r="N568" s="17">
        <v>45539.0</v>
      </c>
      <c r="O568" s="23"/>
    </row>
    <row r="569">
      <c r="A569" s="16">
        <f t="shared" si="1"/>
        <v>568</v>
      </c>
      <c r="B569" s="17">
        <v>45539.0</v>
      </c>
      <c r="C569" s="18" t="s">
        <v>312</v>
      </c>
      <c r="D569" s="24" t="s">
        <v>758</v>
      </c>
      <c r="H569" s="33" t="s">
        <v>46</v>
      </c>
      <c r="J569" s="22"/>
      <c r="K569" s="22"/>
      <c r="L569" s="23"/>
      <c r="M569" s="23"/>
      <c r="N569" s="23"/>
      <c r="O569" s="23"/>
    </row>
    <row r="570">
      <c r="A570" s="16">
        <f t="shared" si="1"/>
        <v>569</v>
      </c>
      <c r="B570" s="17">
        <v>45539.0</v>
      </c>
      <c r="C570" s="18" t="s">
        <v>110</v>
      </c>
      <c r="D570" s="24" t="s">
        <v>759</v>
      </c>
      <c r="H570" s="40" t="s">
        <v>27</v>
      </c>
      <c r="J570" s="24" t="s">
        <v>415</v>
      </c>
      <c r="K570" s="22"/>
      <c r="L570" s="23"/>
      <c r="M570" s="23"/>
      <c r="N570" s="17">
        <v>45539.0</v>
      </c>
      <c r="O570" s="23"/>
    </row>
    <row r="571">
      <c r="A571" s="16">
        <f t="shared" si="1"/>
        <v>570</v>
      </c>
      <c r="B571" s="17">
        <v>45540.0</v>
      </c>
      <c r="C571" s="18" t="s">
        <v>147</v>
      </c>
      <c r="D571" s="24" t="s">
        <v>760</v>
      </c>
      <c r="H571" s="40" t="s">
        <v>27</v>
      </c>
      <c r="J571" s="24" t="s">
        <v>415</v>
      </c>
      <c r="K571" s="22"/>
      <c r="L571" s="23"/>
      <c r="M571" s="23"/>
      <c r="N571" s="17">
        <v>45540.0</v>
      </c>
      <c r="O571" s="23"/>
    </row>
    <row r="572">
      <c r="A572" s="16">
        <f t="shared" si="1"/>
        <v>571</v>
      </c>
      <c r="B572" s="17">
        <v>45544.0</v>
      </c>
      <c r="C572" s="18" t="s">
        <v>752</v>
      </c>
      <c r="D572" s="24" t="s">
        <v>761</v>
      </c>
      <c r="H572" s="40" t="s">
        <v>27</v>
      </c>
      <c r="J572" s="24" t="s">
        <v>415</v>
      </c>
      <c r="K572" s="22"/>
      <c r="L572" s="23"/>
      <c r="M572" s="23"/>
      <c r="N572" s="17">
        <v>45544.0</v>
      </c>
      <c r="O572" s="23"/>
    </row>
    <row r="573">
      <c r="A573" s="16">
        <f t="shared" si="1"/>
        <v>572</v>
      </c>
      <c r="B573" s="17">
        <v>45544.0</v>
      </c>
      <c r="C573" s="18" t="s">
        <v>92</v>
      </c>
      <c r="D573" s="57" t="s">
        <v>762</v>
      </c>
      <c r="J573" s="22"/>
      <c r="K573" s="22"/>
      <c r="L573" s="23"/>
      <c r="M573" s="23"/>
      <c r="N573" s="23"/>
      <c r="O573" s="23"/>
    </row>
    <row r="574">
      <c r="A574" s="16">
        <f t="shared" si="1"/>
        <v>573</v>
      </c>
      <c r="B574" s="26">
        <v>45544.0</v>
      </c>
      <c r="C574" s="18" t="s">
        <v>312</v>
      </c>
      <c r="D574" s="24" t="s">
        <v>763</v>
      </c>
      <c r="H574" s="33" t="s">
        <v>46</v>
      </c>
      <c r="J574" s="22"/>
      <c r="K574" s="22"/>
      <c r="L574" s="23"/>
      <c r="M574" s="23"/>
      <c r="N574" s="23"/>
      <c r="O574" s="23"/>
    </row>
    <row r="575">
      <c r="A575" s="16">
        <f t="shared" si="1"/>
        <v>574</v>
      </c>
      <c r="B575" s="26">
        <v>45544.0</v>
      </c>
      <c r="C575" s="18" t="s">
        <v>312</v>
      </c>
      <c r="D575" s="24" t="s">
        <v>764</v>
      </c>
      <c r="H575" s="33" t="s">
        <v>31</v>
      </c>
      <c r="J575" s="24" t="s">
        <v>415</v>
      </c>
      <c r="K575" s="24" t="s">
        <v>745</v>
      </c>
      <c r="L575" s="23"/>
      <c r="M575" s="23"/>
      <c r="N575" s="23"/>
      <c r="O575" s="17">
        <v>45560.0</v>
      </c>
      <c r="T575" s="18" t="s">
        <v>746</v>
      </c>
    </row>
    <row r="576">
      <c r="A576" s="16">
        <f t="shared" si="1"/>
        <v>575</v>
      </c>
      <c r="B576" s="26">
        <v>45544.0</v>
      </c>
      <c r="C576" s="18" t="s">
        <v>312</v>
      </c>
      <c r="D576" s="24" t="s">
        <v>765</v>
      </c>
      <c r="J576" s="22"/>
      <c r="K576" s="22"/>
      <c r="L576" s="23"/>
      <c r="M576" s="23"/>
      <c r="N576" s="23"/>
      <c r="O576" s="23"/>
    </row>
    <row r="577">
      <c r="A577" s="16">
        <f t="shared" si="1"/>
        <v>576</v>
      </c>
      <c r="B577" s="26">
        <v>45545.0</v>
      </c>
      <c r="C577" s="18" t="s">
        <v>87</v>
      </c>
      <c r="D577" s="59" t="s">
        <v>766</v>
      </c>
      <c r="H577" s="18" t="s">
        <v>27</v>
      </c>
      <c r="J577" s="22"/>
      <c r="K577" s="24" t="s">
        <v>740</v>
      </c>
      <c r="L577" s="23"/>
      <c r="M577" s="23"/>
      <c r="N577" s="23"/>
      <c r="O577" s="17">
        <v>45588.0</v>
      </c>
      <c r="T577" s="18" t="s">
        <v>741</v>
      </c>
    </row>
    <row r="578">
      <c r="A578" s="16">
        <f t="shared" si="1"/>
        <v>577</v>
      </c>
      <c r="B578" s="17">
        <v>45545.0</v>
      </c>
      <c r="C578" s="18" t="s">
        <v>752</v>
      </c>
      <c r="D578" s="24" t="s">
        <v>767</v>
      </c>
      <c r="H578" s="40" t="s">
        <v>27</v>
      </c>
      <c r="J578" s="24" t="s">
        <v>415</v>
      </c>
      <c r="K578" s="22"/>
      <c r="L578" s="17">
        <v>45545.0</v>
      </c>
      <c r="M578" s="23"/>
      <c r="N578" s="23"/>
      <c r="O578" s="23"/>
    </row>
    <row r="579">
      <c r="A579" s="16">
        <f t="shared" si="1"/>
        <v>578</v>
      </c>
      <c r="B579" s="17">
        <v>45547.0</v>
      </c>
      <c r="C579" s="18" t="s">
        <v>110</v>
      </c>
      <c r="D579" s="18" t="s">
        <v>768</v>
      </c>
      <c r="H579" s="18" t="s">
        <v>27</v>
      </c>
      <c r="J579" s="24" t="s">
        <v>415</v>
      </c>
      <c r="K579" s="24" t="s">
        <v>769</v>
      </c>
      <c r="L579" s="23"/>
      <c r="M579" s="23"/>
      <c r="N579" s="23"/>
      <c r="O579" s="17">
        <v>45558.0</v>
      </c>
      <c r="T579" s="18" t="s">
        <v>770</v>
      </c>
    </row>
    <row r="580">
      <c r="A580" s="16">
        <f t="shared" si="1"/>
        <v>579</v>
      </c>
      <c r="B580" s="17">
        <v>45551.0</v>
      </c>
      <c r="C580" s="18" t="s">
        <v>490</v>
      </c>
      <c r="D580" s="24" t="s">
        <v>771</v>
      </c>
      <c r="H580" s="40" t="s">
        <v>27</v>
      </c>
      <c r="J580" s="24" t="s">
        <v>415</v>
      </c>
      <c r="K580" s="22"/>
      <c r="L580" s="23"/>
      <c r="M580" s="23"/>
      <c r="N580" s="17">
        <v>45551.0</v>
      </c>
      <c r="O580" s="23"/>
    </row>
    <row r="581">
      <c r="A581" s="16">
        <f t="shared" si="1"/>
        <v>580</v>
      </c>
      <c r="B581" s="17">
        <v>45551.0</v>
      </c>
      <c r="C581" s="18" t="s">
        <v>490</v>
      </c>
      <c r="D581" s="24" t="s">
        <v>772</v>
      </c>
      <c r="H581" s="40" t="s">
        <v>27</v>
      </c>
      <c r="J581" s="24" t="s">
        <v>415</v>
      </c>
      <c r="K581" s="22"/>
      <c r="L581" s="23"/>
      <c r="M581" s="23"/>
      <c r="N581" s="17">
        <v>45551.0</v>
      </c>
      <c r="O581" s="23"/>
    </row>
    <row r="582">
      <c r="A582" s="16">
        <f t="shared" si="1"/>
        <v>581</v>
      </c>
      <c r="B582" s="17">
        <v>45553.0</v>
      </c>
      <c r="C582" s="18" t="s">
        <v>312</v>
      </c>
      <c r="D582" s="24" t="s">
        <v>773</v>
      </c>
      <c r="H582" s="33" t="s">
        <v>298</v>
      </c>
      <c r="J582" s="24" t="s">
        <v>415</v>
      </c>
      <c r="K582" s="22"/>
      <c r="L582" s="23"/>
      <c r="M582" s="23"/>
      <c r="N582" s="23"/>
      <c r="O582" s="23"/>
    </row>
    <row r="583">
      <c r="A583" s="16">
        <f t="shared" si="1"/>
        <v>582</v>
      </c>
      <c r="B583" s="17">
        <v>45553.0</v>
      </c>
      <c r="C583" s="18" t="s">
        <v>490</v>
      </c>
      <c r="D583" s="24" t="s">
        <v>774</v>
      </c>
      <c r="H583" s="40" t="s">
        <v>27</v>
      </c>
      <c r="J583" s="24" t="s">
        <v>415</v>
      </c>
      <c r="K583" s="22"/>
      <c r="L583" s="23"/>
      <c r="M583" s="23"/>
      <c r="N583" s="17">
        <v>45553.0</v>
      </c>
      <c r="O583" s="23"/>
    </row>
    <row r="584">
      <c r="A584" s="16">
        <f t="shared" si="1"/>
        <v>583</v>
      </c>
      <c r="B584" s="17">
        <v>45553.0</v>
      </c>
      <c r="C584" s="18" t="s">
        <v>312</v>
      </c>
      <c r="D584" s="24" t="s">
        <v>775</v>
      </c>
      <c r="H584" s="40" t="s">
        <v>27</v>
      </c>
      <c r="J584" s="24" t="s">
        <v>415</v>
      </c>
      <c r="K584" s="22"/>
      <c r="L584" s="23"/>
      <c r="M584" s="23"/>
      <c r="N584" s="17">
        <v>45553.0</v>
      </c>
      <c r="O584" s="23"/>
    </row>
    <row r="585">
      <c r="A585" s="16">
        <f t="shared" si="1"/>
        <v>584</v>
      </c>
      <c r="B585" s="17">
        <v>45554.0</v>
      </c>
      <c r="C585" s="18" t="s">
        <v>312</v>
      </c>
      <c r="D585" s="24" t="s">
        <v>776</v>
      </c>
      <c r="H585" s="40" t="s">
        <v>27</v>
      </c>
      <c r="J585" s="24" t="s">
        <v>415</v>
      </c>
      <c r="K585" s="24" t="s">
        <v>777</v>
      </c>
      <c r="L585" s="23"/>
      <c r="M585" s="23"/>
      <c r="N585" s="17">
        <v>45554.0</v>
      </c>
      <c r="O585" s="23"/>
    </row>
    <row r="586">
      <c r="A586" s="16">
        <f t="shared" si="1"/>
        <v>585</v>
      </c>
      <c r="B586" s="17">
        <v>45554.0</v>
      </c>
      <c r="C586" s="18" t="s">
        <v>490</v>
      </c>
      <c r="D586" s="24" t="s">
        <v>778</v>
      </c>
      <c r="H586" s="40" t="s">
        <v>27</v>
      </c>
      <c r="J586" s="24" t="s">
        <v>415</v>
      </c>
      <c r="K586" s="24" t="s">
        <v>779</v>
      </c>
      <c r="L586" s="23"/>
      <c r="M586" s="23"/>
      <c r="N586" s="17">
        <v>45554.0</v>
      </c>
      <c r="O586" s="23"/>
    </row>
    <row r="587">
      <c r="A587" s="16">
        <f t="shared" si="1"/>
        <v>586</v>
      </c>
      <c r="B587" s="17">
        <v>45554.0</v>
      </c>
      <c r="C587" s="18" t="s">
        <v>147</v>
      </c>
      <c r="D587" s="24" t="s">
        <v>780</v>
      </c>
      <c r="H587" s="40" t="s">
        <v>27</v>
      </c>
      <c r="J587" s="24" t="s">
        <v>415</v>
      </c>
      <c r="K587" s="24" t="s">
        <v>777</v>
      </c>
      <c r="L587" s="23"/>
      <c r="M587" s="23"/>
      <c r="N587" s="23"/>
      <c r="O587" s="23"/>
    </row>
    <row r="588">
      <c r="A588" s="16">
        <f t="shared" si="1"/>
        <v>587</v>
      </c>
      <c r="B588" s="17">
        <v>45554.0</v>
      </c>
      <c r="C588" s="18" t="s">
        <v>490</v>
      </c>
      <c r="D588" s="24" t="s">
        <v>781</v>
      </c>
      <c r="H588" s="40" t="s">
        <v>27</v>
      </c>
      <c r="J588" s="24" t="s">
        <v>415</v>
      </c>
      <c r="K588" s="24" t="s">
        <v>782</v>
      </c>
      <c r="L588" s="23"/>
      <c r="M588" s="23"/>
      <c r="N588" s="23"/>
      <c r="O588" s="23"/>
    </row>
    <row r="589">
      <c r="A589" s="16">
        <f t="shared" si="1"/>
        <v>588</v>
      </c>
      <c r="B589" s="17">
        <v>45555.0</v>
      </c>
      <c r="C589" s="18" t="s">
        <v>92</v>
      </c>
      <c r="D589" s="24" t="s">
        <v>783</v>
      </c>
      <c r="H589" s="40" t="s">
        <v>27</v>
      </c>
      <c r="J589" s="24" t="s">
        <v>415</v>
      </c>
      <c r="K589" s="24" t="s">
        <v>740</v>
      </c>
      <c r="L589" s="23"/>
      <c r="M589" s="23"/>
      <c r="N589" s="17">
        <v>45588.0</v>
      </c>
      <c r="O589" s="23"/>
      <c r="T589" s="18" t="s">
        <v>741</v>
      </c>
    </row>
    <row r="590">
      <c r="A590" s="16">
        <f t="shared" si="1"/>
        <v>589</v>
      </c>
      <c r="B590" s="17">
        <v>45558.0</v>
      </c>
      <c r="C590" s="18" t="s">
        <v>110</v>
      </c>
      <c r="D590" s="24" t="s">
        <v>784</v>
      </c>
      <c r="H590" s="18" t="s">
        <v>27</v>
      </c>
      <c r="J590" s="24" t="s">
        <v>457</v>
      </c>
      <c r="K590" s="24" t="s">
        <v>740</v>
      </c>
      <c r="L590" s="23"/>
      <c r="M590" s="23"/>
      <c r="N590" s="17">
        <v>45588.0</v>
      </c>
      <c r="O590" s="23"/>
      <c r="T590" s="18" t="s">
        <v>741</v>
      </c>
    </row>
    <row r="591">
      <c r="A591" s="16">
        <f t="shared" si="1"/>
        <v>590</v>
      </c>
      <c r="B591" s="17">
        <v>45558.0</v>
      </c>
      <c r="C591" s="18" t="s">
        <v>92</v>
      </c>
      <c r="D591" s="24" t="s">
        <v>785</v>
      </c>
      <c r="H591" s="18" t="s">
        <v>27</v>
      </c>
      <c r="J591" s="24" t="s">
        <v>415</v>
      </c>
      <c r="K591" s="24" t="s">
        <v>786</v>
      </c>
      <c r="L591" s="23"/>
      <c r="M591" s="23"/>
      <c r="N591" s="23"/>
      <c r="O591" s="17">
        <v>45569.0</v>
      </c>
      <c r="P591" s="50">
        <v>45569.0</v>
      </c>
      <c r="Q591" s="18" t="s">
        <v>415</v>
      </c>
      <c r="R591" s="24" t="s">
        <v>787</v>
      </c>
    </row>
    <row r="592">
      <c r="A592" s="16">
        <f t="shared" si="1"/>
        <v>591</v>
      </c>
      <c r="B592" s="17">
        <v>45558.0</v>
      </c>
      <c r="C592" s="18" t="s">
        <v>312</v>
      </c>
      <c r="D592" s="24" t="s">
        <v>788</v>
      </c>
      <c r="J592" s="22"/>
      <c r="K592" s="22"/>
      <c r="L592" s="23"/>
      <c r="M592" s="23"/>
      <c r="N592" s="23"/>
      <c r="O592" s="23"/>
    </row>
    <row r="593">
      <c r="A593" s="16">
        <f t="shared" si="1"/>
        <v>592</v>
      </c>
      <c r="B593" s="17">
        <v>45559.0</v>
      </c>
      <c r="C593" s="18" t="s">
        <v>110</v>
      </c>
      <c r="D593" s="24" t="s">
        <v>789</v>
      </c>
      <c r="H593" s="18" t="s">
        <v>27</v>
      </c>
      <c r="J593" s="24" t="s">
        <v>415</v>
      </c>
      <c r="K593" s="24" t="s">
        <v>740</v>
      </c>
      <c r="L593" s="23"/>
      <c r="M593" s="23"/>
      <c r="N593" s="23"/>
      <c r="O593" s="23"/>
      <c r="T593" s="18" t="s">
        <v>741</v>
      </c>
    </row>
    <row r="594">
      <c r="A594" s="16">
        <f t="shared" si="1"/>
        <v>593</v>
      </c>
      <c r="B594" s="17">
        <v>45558.0</v>
      </c>
      <c r="C594" s="18" t="s">
        <v>147</v>
      </c>
      <c r="D594" s="24" t="s">
        <v>790</v>
      </c>
      <c r="H594" s="40" t="s">
        <v>27</v>
      </c>
      <c r="J594" s="24" t="s">
        <v>415</v>
      </c>
      <c r="K594" s="24" t="s">
        <v>777</v>
      </c>
      <c r="L594" s="23"/>
      <c r="M594" s="23"/>
      <c r="N594" s="17">
        <v>45558.0</v>
      </c>
      <c r="O594" s="23"/>
    </row>
    <row r="595">
      <c r="A595" s="16">
        <f t="shared" si="1"/>
        <v>594</v>
      </c>
      <c r="B595" s="17">
        <v>45558.0</v>
      </c>
      <c r="C595" s="18" t="s">
        <v>752</v>
      </c>
      <c r="D595" s="24" t="s">
        <v>791</v>
      </c>
      <c r="H595" s="40" t="s">
        <v>27</v>
      </c>
      <c r="J595" s="24" t="s">
        <v>415</v>
      </c>
      <c r="K595" s="24" t="s">
        <v>777</v>
      </c>
      <c r="L595" s="23"/>
      <c r="M595" s="23"/>
      <c r="N595" s="17">
        <v>45558.0</v>
      </c>
      <c r="O595" s="23"/>
    </row>
    <row r="596">
      <c r="A596" s="16">
        <f t="shared" si="1"/>
        <v>595</v>
      </c>
      <c r="B596" s="17">
        <v>45560.0</v>
      </c>
      <c r="C596" s="18" t="s">
        <v>110</v>
      </c>
      <c r="D596" s="24" t="s">
        <v>792</v>
      </c>
      <c r="H596" s="40" t="s">
        <v>27</v>
      </c>
      <c r="J596" s="24" t="s">
        <v>415</v>
      </c>
      <c r="K596" s="24" t="s">
        <v>793</v>
      </c>
      <c r="L596" s="23"/>
      <c r="M596" s="23"/>
      <c r="N596" s="17">
        <v>45560.0</v>
      </c>
      <c r="O596" s="23"/>
    </row>
    <row r="597">
      <c r="A597" s="16">
        <f t="shared" si="1"/>
        <v>596</v>
      </c>
      <c r="B597" s="17">
        <v>45560.0</v>
      </c>
      <c r="C597" s="18" t="s">
        <v>110</v>
      </c>
      <c r="D597" s="24" t="s">
        <v>794</v>
      </c>
      <c r="H597" s="40" t="s">
        <v>27</v>
      </c>
      <c r="J597" s="24" t="s">
        <v>415</v>
      </c>
      <c r="K597" s="22"/>
      <c r="L597" s="23"/>
      <c r="M597" s="23"/>
      <c r="N597" s="17">
        <v>45560.0</v>
      </c>
      <c r="O597" s="23"/>
    </row>
    <row r="598">
      <c r="A598" s="16">
        <f t="shared" si="1"/>
        <v>597</v>
      </c>
      <c r="B598" s="17">
        <v>45561.0</v>
      </c>
      <c r="C598" s="18" t="s">
        <v>147</v>
      </c>
      <c r="D598" s="24" t="s">
        <v>795</v>
      </c>
      <c r="H598" s="40" t="s">
        <v>27</v>
      </c>
      <c r="J598" s="24" t="s">
        <v>457</v>
      </c>
      <c r="K598" s="24" t="s">
        <v>796</v>
      </c>
      <c r="L598" s="23"/>
      <c r="M598" s="23"/>
      <c r="N598" s="17">
        <v>45561.0</v>
      </c>
      <c r="O598" s="23"/>
    </row>
    <row r="599">
      <c r="A599" s="16">
        <f t="shared" si="1"/>
        <v>598</v>
      </c>
      <c r="B599" s="17">
        <v>45561.0</v>
      </c>
      <c r="C599" s="18" t="s">
        <v>110</v>
      </c>
      <c r="D599" s="24" t="s">
        <v>797</v>
      </c>
      <c r="H599" s="18" t="s">
        <v>27</v>
      </c>
      <c r="J599" s="24" t="s">
        <v>415</v>
      </c>
      <c r="K599" s="24" t="s">
        <v>798</v>
      </c>
      <c r="L599" s="23"/>
      <c r="M599" s="23"/>
      <c r="N599" s="23"/>
      <c r="O599" s="17">
        <v>45602.0</v>
      </c>
      <c r="T599" s="18" t="s">
        <v>799</v>
      </c>
    </row>
    <row r="600">
      <c r="A600" s="16">
        <f t="shared" si="1"/>
        <v>599</v>
      </c>
      <c r="B600" s="17">
        <v>45562.0</v>
      </c>
      <c r="C600" s="18" t="s">
        <v>110</v>
      </c>
      <c r="D600" s="24" t="s">
        <v>800</v>
      </c>
      <c r="H600" s="40" t="s">
        <v>27</v>
      </c>
      <c r="J600" s="24" t="s">
        <v>415</v>
      </c>
      <c r="K600" s="24" t="s">
        <v>777</v>
      </c>
      <c r="L600" s="17"/>
      <c r="M600" s="23"/>
      <c r="N600" s="17">
        <v>45562.0</v>
      </c>
      <c r="O600" s="23"/>
    </row>
    <row r="601">
      <c r="A601" s="16">
        <f t="shared" si="1"/>
        <v>600</v>
      </c>
      <c r="B601" s="17">
        <v>45562.0</v>
      </c>
      <c r="C601" s="18" t="s">
        <v>110</v>
      </c>
      <c r="D601" s="24" t="s">
        <v>801</v>
      </c>
      <c r="J601" s="22"/>
      <c r="K601" s="22"/>
      <c r="L601" s="23"/>
      <c r="M601" s="23"/>
      <c r="N601" s="23"/>
      <c r="O601" s="23"/>
    </row>
    <row r="602">
      <c r="A602" s="16">
        <f t="shared" si="1"/>
        <v>601</v>
      </c>
      <c r="B602" s="17">
        <v>45565.0</v>
      </c>
      <c r="C602" s="18" t="s">
        <v>752</v>
      </c>
      <c r="D602" s="24" t="s">
        <v>802</v>
      </c>
      <c r="H602" s="40" t="s">
        <v>27</v>
      </c>
      <c r="J602" s="24" t="s">
        <v>415</v>
      </c>
      <c r="K602" s="24" t="s">
        <v>803</v>
      </c>
      <c r="L602" s="23"/>
      <c r="M602" s="23"/>
      <c r="N602" s="17">
        <v>45565.0</v>
      </c>
      <c r="O602" s="23"/>
    </row>
    <row r="603">
      <c r="A603" s="16">
        <f t="shared" si="1"/>
        <v>602</v>
      </c>
      <c r="B603" s="17">
        <v>45562.0</v>
      </c>
      <c r="C603" s="18" t="s">
        <v>110</v>
      </c>
      <c r="D603" s="24" t="s">
        <v>804</v>
      </c>
      <c r="H603" s="40" t="s">
        <v>27</v>
      </c>
      <c r="J603" s="24" t="s">
        <v>415</v>
      </c>
      <c r="K603" s="24" t="s">
        <v>777</v>
      </c>
      <c r="L603" s="23"/>
      <c r="M603" s="23"/>
      <c r="N603" s="17">
        <v>45565.0</v>
      </c>
      <c r="O603" s="23"/>
    </row>
    <row r="604">
      <c r="A604" s="16">
        <f t="shared" si="1"/>
        <v>603</v>
      </c>
      <c r="B604" s="17">
        <v>45562.0</v>
      </c>
      <c r="C604" s="18" t="s">
        <v>87</v>
      </c>
      <c r="D604" s="24" t="s">
        <v>805</v>
      </c>
      <c r="H604" s="40" t="s">
        <v>27</v>
      </c>
      <c r="J604" s="24" t="s">
        <v>415</v>
      </c>
      <c r="K604" s="24" t="s">
        <v>806</v>
      </c>
      <c r="L604" s="23"/>
      <c r="M604" s="23"/>
      <c r="N604" s="17">
        <v>45562.0</v>
      </c>
      <c r="O604" s="23"/>
    </row>
    <row r="605">
      <c r="A605" s="16">
        <f t="shared" si="1"/>
        <v>604</v>
      </c>
      <c r="B605" s="26">
        <v>45565.0</v>
      </c>
      <c r="C605" s="18" t="s">
        <v>87</v>
      </c>
      <c r="D605" s="24" t="s">
        <v>807</v>
      </c>
      <c r="H605" s="18" t="s">
        <v>27</v>
      </c>
      <c r="J605" s="24" t="s">
        <v>415</v>
      </c>
      <c r="K605" s="24" t="s">
        <v>808</v>
      </c>
      <c r="L605" s="23"/>
      <c r="M605" s="23"/>
      <c r="N605" s="23"/>
      <c r="O605" s="17">
        <v>45656.0</v>
      </c>
    </row>
    <row r="606">
      <c r="A606" s="16">
        <f t="shared" si="1"/>
        <v>605</v>
      </c>
      <c r="B606" s="26">
        <v>45566.0</v>
      </c>
      <c r="C606" s="18" t="s">
        <v>87</v>
      </c>
      <c r="D606" s="24" t="s">
        <v>809</v>
      </c>
      <c r="H606" s="40" t="s">
        <v>27</v>
      </c>
      <c r="J606" s="24" t="s">
        <v>457</v>
      </c>
      <c r="K606" s="24" t="s">
        <v>810</v>
      </c>
      <c r="L606" s="23"/>
      <c r="M606" s="23"/>
      <c r="N606" s="17">
        <v>45566.0</v>
      </c>
      <c r="O606" s="23"/>
    </row>
    <row r="607">
      <c r="A607" s="16">
        <f t="shared" si="1"/>
        <v>606</v>
      </c>
      <c r="B607" s="26">
        <v>45572.0</v>
      </c>
      <c r="C607" s="18" t="s">
        <v>87</v>
      </c>
      <c r="D607" s="24" t="s">
        <v>811</v>
      </c>
      <c r="H607" s="40" t="s">
        <v>27</v>
      </c>
      <c r="J607" s="24" t="s">
        <v>415</v>
      </c>
      <c r="K607" s="24" t="s">
        <v>777</v>
      </c>
      <c r="L607" s="23"/>
      <c r="M607" s="23"/>
      <c r="N607" s="17">
        <v>45572.0</v>
      </c>
      <c r="O607" s="23"/>
    </row>
    <row r="608">
      <c r="A608" s="16">
        <f t="shared" si="1"/>
        <v>607</v>
      </c>
      <c r="B608" s="26">
        <v>45572.0</v>
      </c>
      <c r="C608" s="18" t="s">
        <v>453</v>
      </c>
      <c r="D608" s="24" t="s">
        <v>812</v>
      </c>
      <c r="H608" s="40" t="s">
        <v>27</v>
      </c>
      <c r="J608" s="24" t="s">
        <v>415</v>
      </c>
      <c r="K608" s="24" t="s">
        <v>813</v>
      </c>
      <c r="L608" s="23"/>
      <c r="M608" s="23"/>
      <c r="N608" s="17">
        <v>45572.0</v>
      </c>
      <c r="O608" s="23"/>
    </row>
    <row r="609">
      <c r="A609" s="16">
        <f t="shared" si="1"/>
        <v>608</v>
      </c>
      <c r="B609" s="26">
        <v>45573.0</v>
      </c>
      <c r="C609" s="18" t="s">
        <v>752</v>
      </c>
      <c r="D609" s="18" t="s">
        <v>814</v>
      </c>
      <c r="H609" s="40" t="s">
        <v>27</v>
      </c>
      <c r="J609" s="24" t="s">
        <v>415</v>
      </c>
      <c r="K609" s="24" t="s">
        <v>740</v>
      </c>
      <c r="L609" s="23"/>
      <c r="M609" s="23"/>
      <c r="N609" s="17">
        <v>45588.0</v>
      </c>
      <c r="O609" s="23"/>
      <c r="T609" s="18" t="s">
        <v>741</v>
      </c>
    </row>
    <row r="610">
      <c r="A610" s="16">
        <f t="shared" si="1"/>
        <v>609</v>
      </c>
      <c r="B610" s="26">
        <v>45573.0</v>
      </c>
      <c r="C610" s="18" t="s">
        <v>147</v>
      </c>
      <c r="D610" s="24" t="s">
        <v>815</v>
      </c>
      <c r="H610" s="40" t="s">
        <v>27</v>
      </c>
      <c r="J610" s="24" t="s">
        <v>457</v>
      </c>
      <c r="K610" s="22"/>
      <c r="L610" s="23"/>
      <c r="M610" s="23"/>
      <c r="N610" s="17">
        <v>45573.0</v>
      </c>
      <c r="O610" s="23"/>
    </row>
    <row r="611">
      <c r="A611" s="16">
        <f t="shared" si="1"/>
        <v>610</v>
      </c>
      <c r="B611" s="17">
        <v>45576.0</v>
      </c>
      <c r="C611" s="18" t="s">
        <v>87</v>
      </c>
      <c r="D611" s="59" t="s">
        <v>816</v>
      </c>
      <c r="H611" s="40" t="s">
        <v>27</v>
      </c>
      <c r="J611" s="24" t="s">
        <v>415</v>
      </c>
      <c r="K611" s="24" t="s">
        <v>817</v>
      </c>
      <c r="L611" s="23"/>
      <c r="M611" s="23"/>
      <c r="N611" s="17">
        <v>45576.0</v>
      </c>
      <c r="O611" s="23"/>
    </row>
    <row r="612">
      <c r="A612" s="16">
        <f t="shared" si="1"/>
        <v>611</v>
      </c>
      <c r="B612" s="17">
        <v>45576.0</v>
      </c>
      <c r="C612" s="18" t="s">
        <v>752</v>
      </c>
      <c r="D612" s="24" t="s">
        <v>818</v>
      </c>
      <c r="H612" s="40" t="s">
        <v>27</v>
      </c>
      <c r="J612" s="24" t="s">
        <v>415</v>
      </c>
      <c r="K612" s="24" t="s">
        <v>819</v>
      </c>
      <c r="L612" s="23"/>
      <c r="M612" s="23"/>
      <c r="N612" s="17">
        <v>45576.0</v>
      </c>
      <c r="O612" s="23"/>
    </row>
    <row r="613">
      <c r="A613" s="16">
        <f t="shared" si="1"/>
        <v>612</v>
      </c>
      <c r="B613" s="17">
        <v>45580.0</v>
      </c>
      <c r="C613" s="18" t="s">
        <v>110</v>
      </c>
      <c r="D613" s="31" t="s">
        <v>820</v>
      </c>
      <c r="H613" s="33" t="s">
        <v>23</v>
      </c>
      <c r="J613" s="24" t="s">
        <v>415</v>
      </c>
      <c r="K613" s="24" t="s">
        <v>821</v>
      </c>
      <c r="L613" s="23"/>
      <c r="M613" s="23"/>
      <c r="N613" s="23"/>
      <c r="O613" s="23"/>
    </row>
    <row r="614">
      <c r="A614" s="16">
        <f t="shared" si="1"/>
        <v>613</v>
      </c>
      <c r="B614" s="17">
        <v>45580.0</v>
      </c>
      <c r="C614" s="18" t="s">
        <v>110</v>
      </c>
      <c r="D614" s="65" t="s">
        <v>822</v>
      </c>
      <c r="J614" s="22"/>
      <c r="K614" s="22"/>
      <c r="L614" s="23"/>
      <c r="M614" s="23"/>
      <c r="N614" s="23"/>
      <c r="O614" s="23"/>
    </row>
    <row r="615">
      <c r="A615" s="16">
        <f t="shared" si="1"/>
        <v>614</v>
      </c>
      <c r="B615" s="17">
        <v>45580.0</v>
      </c>
      <c r="C615" s="18" t="s">
        <v>110</v>
      </c>
      <c r="D615" s="24" t="s">
        <v>823</v>
      </c>
      <c r="H615" s="33" t="s">
        <v>348</v>
      </c>
      <c r="J615" s="22"/>
      <c r="K615" s="22"/>
      <c r="L615" s="23"/>
      <c r="M615" s="23"/>
      <c r="N615" s="23"/>
      <c r="O615" s="23"/>
    </row>
    <row r="616">
      <c r="A616" s="16">
        <f t="shared" si="1"/>
        <v>615</v>
      </c>
      <c r="B616" s="17">
        <v>45580.0</v>
      </c>
      <c r="C616" s="18" t="s">
        <v>415</v>
      </c>
      <c r="D616" s="24" t="s">
        <v>824</v>
      </c>
      <c r="H616" s="40" t="s">
        <v>27</v>
      </c>
      <c r="J616" s="24" t="s">
        <v>415</v>
      </c>
      <c r="K616" s="24" t="s">
        <v>740</v>
      </c>
      <c r="L616" s="23"/>
      <c r="M616" s="23"/>
      <c r="N616" s="17">
        <v>45588.0</v>
      </c>
      <c r="O616" s="23"/>
      <c r="T616" s="18" t="s">
        <v>741</v>
      </c>
    </row>
    <row r="617">
      <c r="A617" s="16">
        <f t="shared" si="1"/>
        <v>616</v>
      </c>
      <c r="B617" s="17">
        <v>45580.0</v>
      </c>
      <c r="C617" s="18" t="s">
        <v>110</v>
      </c>
      <c r="D617" s="24" t="s">
        <v>825</v>
      </c>
      <c r="H617" s="40" t="s">
        <v>27</v>
      </c>
      <c r="J617" s="24" t="s">
        <v>415</v>
      </c>
      <c r="K617" s="24" t="s">
        <v>826</v>
      </c>
      <c r="L617" s="23"/>
      <c r="M617" s="23"/>
      <c r="N617" s="17">
        <v>45580.0</v>
      </c>
      <c r="O617" s="23"/>
    </row>
    <row r="618">
      <c r="A618" s="16">
        <f t="shared" si="1"/>
        <v>617</v>
      </c>
      <c r="B618" s="17">
        <v>45580.0</v>
      </c>
      <c r="C618" s="18" t="s">
        <v>312</v>
      </c>
      <c r="D618" s="24" t="s">
        <v>827</v>
      </c>
      <c r="H618" s="40" t="s">
        <v>27</v>
      </c>
      <c r="J618" s="24" t="s">
        <v>415</v>
      </c>
      <c r="K618" s="24" t="s">
        <v>828</v>
      </c>
      <c r="L618" s="23"/>
      <c r="M618" s="23"/>
      <c r="N618" s="17">
        <v>45580.0</v>
      </c>
      <c r="O618" s="23"/>
    </row>
    <row r="619">
      <c r="A619" s="16">
        <f t="shared" si="1"/>
        <v>618</v>
      </c>
      <c r="B619" s="17">
        <v>45580.0</v>
      </c>
      <c r="C619" s="18" t="s">
        <v>490</v>
      </c>
      <c r="D619" s="24" t="s">
        <v>829</v>
      </c>
      <c r="H619" s="40" t="s">
        <v>27</v>
      </c>
      <c r="J619" s="24" t="s">
        <v>415</v>
      </c>
      <c r="K619" s="24" t="s">
        <v>828</v>
      </c>
      <c r="L619" s="23"/>
      <c r="M619" s="23"/>
      <c r="N619" s="17">
        <v>45580.0</v>
      </c>
      <c r="O619" s="23"/>
    </row>
    <row r="620">
      <c r="A620" s="16">
        <f t="shared" si="1"/>
        <v>619</v>
      </c>
      <c r="B620" s="17">
        <v>45582.0</v>
      </c>
      <c r="C620" s="18" t="s">
        <v>87</v>
      </c>
      <c r="D620" s="24" t="s">
        <v>830</v>
      </c>
      <c r="H620" s="40" t="s">
        <v>27</v>
      </c>
      <c r="J620" s="24" t="s">
        <v>415</v>
      </c>
      <c r="K620" s="24" t="s">
        <v>828</v>
      </c>
      <c r="L620" s="23"/>
      <c r="M620" s="23"/>
      <c r="N620" s="17">
        <v>45582.0</v>
      </c>
      <c r="O620" s="23"/>
    </row>
    <row r="621">
      <c r="A621" s="16">
        <f t="shared" si="1"/>
        <v>620</v>
      </c>
      <c r="B621" s="17">
        <v>45583.0</v>
      </c>
      <c r="C621" s="18" t="s">
        <v>92</v>
      </c>
      <c r="D621" s="24" t="s">
        <v>831</v>
      </c>
      <c r="J621" s="22"/>
      <c r="K621" s="22"/>
      <c r="L621" s="23"/>
      <c r="M621" s="23"/>
      <c r="N621" s="23"/>
      <c r="O621" s="23"/>
    </row>
    <row r="622">
      <c r="A622" s="16">
        <f t="shared" si="1"/>
        <v>621</v>
      </c>
      <c r="B622" s="17">
        <v>45583.0</v>
      </c>
      <c r="C622" s="18" t="s">
        <v>312</v>
      </c>
      <c r="D622" s="24" t="s">
        <v>832</v>
      </c>
      <c r="H622" s="40" t="s">
        <v>27</v>
      </c>
      <c r="J622" s="24" t="s">
        <v>415</v>
      </c>
      <c r="K622" s="24" t="s">
        <v>828</v>
      </c>
      <c r="L622" s="23"/>
      <c r="M622" s="23"/>
      <c r="N622" s="17">
        <v>45583.0</v>
      </c>
      <c r="O622" s="23"/>
    </row>
    <row r="623">
      <c r="A623" s="16">
        <f t="shared" si="1"/>
        <v>622</v>
      </c>
      <c r="B623" s="17">
        <v>45583.0</v>
      </c>
      <c r="C623" s="18" t="s">
        <v>147</v>
      </c>
      <c r="D623" s="59" t="s">
        <v>833</v>
      </c>
      <c r="H623" s="40" t="s">
        <v>27</v>
      </c>
      <c r="J623" s="24" t="s">
        <v>415</v>
      </c>
      <c r="K623" s="24" t="s">
        <v>828</v>
      </c>
      <c r="L623" s="23"/>
      <c r="M623" s="23"/>
      <c r="N623" s="17">
        <v>45583.0</v>
      </c>
      <c r="O623" s="23"/>
    </row>
    <row r="624">
      <c r="A624" s="16">
        <f t="shared" si="1"/>
        <v>623</v>
      </c>
      <c r="B624" s="17">
        <v>45586.0</v>
      </c>
      <c r="C624" s="18" t="s">
        <v>312</v>
      </c>
      <c r="D624" s="24" t="s">
        <v>834</v>
      </c>
      <c r="H624" s="40" t="s">
        <v>27</v>
      </c>
      <c r="J624" s="24" t="s">
        <v>415</v>
      </c>
      <c r="K624" s="24" t="s">
        <v>828</v>
      </c>
      <c r="L624" s="23"/>
      <c r="M624" s="23"/>
      <c r="N624" s="17">
        <v>45586.0</v>
      </c>
      <c r="O624" s="23"/>
    </row>
    <row r="625">
      <c r="A625" s="16">
        <f t="shared" si="1"/>
        <v>624</v>
      </c>
      <c r="B625" s="17">
        <v>45586.0</v>
      </c>
      <c r="C625" s="18" t="s">
        <v>92</v>
      </c>
      <c r="D625" s="24" t="s">
        <v>835</v>
      </c>
      <c r="H625" s="40" t="s">
        <v>27</v>
      </c>
      <c r="J625" s="24" t="s">
        <v>415</v>
      </c>
      <c r="K625" s="24" t="s">
        <v>828</v>
      </c>
      <c r="L625" s="23"/>
      <c r="M625" s="23"/>
      <c r="N625" s="17">
        <v>45586.0</v>
      </c>
      <c r="O625" s="23"/>
    </row>
    <row r="626">
      <c r="A626" s="16">
        <f t="shared" si="1"/>
        <v>625</v>
      </c>
      <c r="B626" s="17">
        <v>45586.0</v>
      </c>
      <c r="C626" s="18" t="s">
        <v>490</v>
      </c>
      <c r="D626" s="24" t="s">
        <v>836</v>
      </c>
      <c r="H626" s="40" t="s">
        <v>27</v>
      </c>
      <c r="J626" s="24" t="s">
        <v>415</v>
      </c>
      <c r="K626" s="24" t="s">
        <v>828</v>
      </c>
      <c r="L626" s="23"/>
      <c r="M626" s="23"/>
      <c r="N626" s="17">
        <v>45587.0</v>
      </c>
      <c r="O626" s="23"/>
    </row>
    <row r="627">
      <c r="A627" s="16">
        <f t="shared" si="1"/>
        <v>626</v>
      </c>
      <c r="B627" s="17">
        <v>45587.0</v>
      </c>
      <c r="C627" s="18" t="s">
        <v>87</v>
      </c>
      <c r="D627" s="24" t="s">
        <v>837</v>
      </c>
      <c r="H627" s="40" t="s">
        <v>27</v>
      </c>
      <c r="J627" s="24" t="s">
        <v>415</v>
      </c>
      <c r="K627" s="24" t="s">
        <v>828</v>
      </c>
      <c r="L627" s="23"/>
      <c r="M627" s="23"/>
      <c r="N627" s="17">
        <v>45587.0</v>
      </c>
      <c r="O627" s="23"/>
    </row>
    <row r="628">
      <c r="A628" s="16">
        <f t="shared" si="1"/>
        <v>627</v>
      </c>
      <c r="B628" s="17">
        <v>45587.0</v>
      </c>
      <c r="C628" s="18" t="s">
        <v>87</v>
      </c>
      <c r="D628" s="59" t="s">
        <v>838</v>
      </c>
      <c r="H628" s="40" t="s">
        <v>27</v>
      </c>
      <c r="J628" s="24" t="s">
        <v>415</v>
      </c>
      <c r="K628" s="24" t="s">
        <v>828</v>
      </c>
      <c r="L628" s="23"/>
      <c r="M628" s="23"/>
      <c r="N628" s="17">
        <v>45587.0</v>
      </c>
      <c r="O628" s="23"/>
    </row>
    <row r="629">
      <c r="A629" s="16">
        <f t="shared" si="1"/>
        <v>628</v>
      </c>
      <c r="B629" s="17">
        <v>45588.0</v>
      </c>
      <c r="C629" s="18" t="s">
        <v>312</v>
      </c>
      <c r="D629" s="24" t="s">
        <v>839</v>
      </c>
      <c r="H629" s="40" t="s">
        <v>27</v>
      </c>
      <c r="J629" s="24" t="s">
        <v>415</v>
      </c>
      <c r="K629" s="24" t="s">
        <v>828</v>
      </c>
      <c r="L629" s="23"/>
      <c r="M629" s="23"/>
      <c r="N629" s="17">
        <v>45588.0</v>
      </c>
      <c r="O629" s="23"/>
    </row>
    <row r="630">
      <c r="A630" s="16">
        <f t="shared" si="1"/>
        <v>629</v>
      </c>
      <c r="B630" s="17">
        <v>45588.0</v>
      </c>
      <c r="C630" s="18" t="s">
        <v>752</v>
      </c>
      <c r="D630" s="24" t="s">
        <v>840</v>
      </c>
      <c r="H630" s="40" t="s">
        <v>27</v>
      </c>
      <c r="J630" s="24" t="s">
        <v>457</v>
      </c>
      <c r="K630" s="24" t="s">
        <v>828</v>
      </c>
      <c r="L630" s="23"/>
      <c r="M630" s="23"/>
      <c r="N630" s="23"/>
      <c r="O630" s="23"/>
    </row>
    <row r="631">
      <c r="A631" s="16">
        <f t="shared" si="1"/>
        <v>630</v>
      </c>
      <c r="B631" s="17">
        <v>45589.0</v>
      </c>
      <c r="C631" s="18" t="s">
        <v>87</v>
      </c>
      <c r="D631" s="59" t="s">
        <v>841</v>
      </c>
      <c r="H631" s="33" t="s">
        <v>348</v>
      </c>
      <c r="J631" s="24" t="s">
        <v>415</v>
      </c>
      <c r="K631" s="24" t="s">
        <v>842</v>
      </c>
      <c r="L631" s="23"/>
      <c r="M631" s="23"/>
      <c r="N631" s="23"/>
      <c r="O631" s="23"/>
    </row>
    <row r="632">
      <c r="A632" s="16">
        <f t="shared" si="1"/>
        <v>631</v>
      </c>
      <c r="B632" s="17">
        <v>45590.0</v>
      </c>
      <c r="C632" s="18" t="s">
        <v>312</v>
      </c>
      <c r="D632" s="24" t="s">
        <v>843</v>
      </c>
      <c r="H632" s="40" t="s">
        <v>27</v>
      </c>
      <c r="J632" s="24" t="s">
        <v>415</v>
      </c>
      <c r="K632" s="24" t="s">
        <v>828</v>
      </c>
      <c r="L632" s="23"/>
      <c r="M632" s="23"/>
      <c r="N632" s="17">
        <v>45590.0</v>
      </c>
      <c r="O632" s="23"/>
    </row>
    <row r="633">
      <c r="A633" s="16">
        <f t="shared" si="1"/>
        <v>632</v>
      </c>
      <c r="B633" s="17">
        <v>45593.0</v>
      </c>
      <c r="C633" s="18" t="s">
        <v>147</v>
      </c>
      <c r="D633" s="24" t="s">
        <v>844</v>
      </c>
      <c r="H633" s="40" t="s">
        <v>27</v>
      </c>
      <c r="J633" s="24" t="s">
        <v>415</v>
      </c>
      <c r="K633" s="24" t="s">
        <v>828</v>
      </c>
      <c r="L633" s="23"/>
      <c r="M633" s="23"/>
      <c r="N633" s="17">
        <v>45593.0</v>
      </c>
      <c r="O633" s="23"/>
    </row>
    <row r="634">
      <c r="A634" s="16">
        <f t="shared" si="1"/>
        <v>633</v>
      </c>
      <c r="B634" s="17">
        <v>45593.0</v>
      </c>
      <c r="C634" s="18" t="s">
        <v>752</v>
      </c>
      <c r="D634" s="24" t="s">
        <v>845</v>
      </c>
      <c r="H634" s="40" t="s">
        <v>27</v>
      </c>
      <c r="J634" s="24" t="s">
        <v>415</v>
      </c>
      <c r="K634" s="24" t="s">
        <v>828</v>
      </c>
      <c r="L634" s="23"/>
      <c r="M634" s="23"/>
      <c r="N634" s="17">
        <v>45593.0</v>
      </c>
      <c r="O634" s="23"/>
    </row>
    <row r="635">
      <c r="A635" s="16">
        <f t="shared" si="1"/>
        <v>634</v>
      </c>
      <c r="B635" s="17">
        <v>45593.0</v>
      </c>
      <c r="C635" s="18" t="s">
        <v>87</v>
      </c>
      <c r="D635" s="24" t="s">
        <v>846</v>
      </c>
      <c r="H635" s="40" t="s">
        <v>27</v>
      </c>
      <c r="J635" s="24" t="s">
        <v>415</v>
      </c>
      <c r="K635" s="24" t="s">
        <v>828</v>
      </c>
      <c r="L635" s="23"/>
      <c r="M635" s="23"/>
      <c r="N635" s="17">
        <v>45593.0</v>
      </c>
      <c r="O635" s="23"/>
    </row>
    <row r="636">
      <c r="A636" s="16">
        <f t="shared" si="1"/>
        <v>635</v>
      </c>
      <c r="B636" s="17">
        <v>45595.0</v>
      </c>
      <c r="C636" s="18" t="s">
        <v>752</v>
      </c>
      <c r="D636" s="24" t="s">
        <v>847</v>
      </c>
      <c r="H636" s="40" t="s">
        <v>27</v>
      </c>
      <c r="J636" s="24" t="s">
        <v>415</v>
      </c>
      <c r="K636" s="24" t="s">
        <v>848</v>
      </c>
      <c r="L636" s="23"/>
      <c r="M636" s="23"/>
      <c r="N636" s="17">
        <v>45595.0</v>
      </c>
      <c r="O636" s="23"/>
    </row>
    <row r="637">
      <c r="A637" s="16">
        <f t="shared" si="1"/>
        <v>636</v>
      </c>
      <c r="B637" s="17">
        <v>45595.0</v>
      </c>
      <c r="C637" s="18" t="s">
        <v>87</v>
      </c>
      <c r="D637" s="59" t="s">
        <v>849</v>
      </c>
      <c r="H637" s="40" t="s">
        <v>27</v>
      </c>
      <c r="J637" s="24" t="s">
        <v>415</v>
      </c>
      <c r="K637" s="24" t="s">
        <v>828</v>
      </c>
      <c r="L637" s="23"/>
      <c r="M637" s="23"/>
      <c r="N637" s="17">
        <v>45595.0</v>
      </c>
      <c r="O637" s="23"/>
    </row>
    <row r="638">
      <c r="A638" s="16">
        <f t="shared" si="1"/>
        <v>637</v>
      </c>
      <c r="B638" s="17">
        <v>45597.0</v>
      </c>
      <c r="C638" s="18" t="s">
        <v>147</v>
      </c>
      <c r="D638" s="59" t="s">
        <v>850</v>
      </c>
      <c r="H638" s="40" t="s">
        <v>27</v>
      </c>
      <c r="J638" s="24" t="s">
        <v>415</v>
      </c>
      <c r="K638" s="24" t="s">
        <v>828</v>
      </c>
      <c r="L638" s="23"/>
      <c r="M638" s="23"/>
      <c r="N638" s="17">
        <v>45595.0</v>
      </c>
      <c r="O638" s="23"/>
    </row>
    <row r="639">
      <c r="A639" s="16">
        <f t="shared" si="1"/>
        <v>638</v>
      </c>
      <c r="B639" s="17">
        <v>45597.0</v>
      </c>
      <c r="C639" s="18" t="s">
        <v>147</v>
      </c>
      <c r="D639" s="24" t="s">
        <v>851</v>
      </c>
      <c r="H639" s="33" t="s">
        <v>27</v>
      </c>
      <c r="J639" s="24" t="s">
        <v>415</v>
      </c>
      <c r="K639" s="24" t="s">
        <v>852</v>
      </c>
      <c r="L639" s="23"/>
      <c r="M639" s="23"/>
      <c r="N639" s="23"/>
      <c r="O639" s="23"/>
    </row>
    <row r="640">
      <c r="A640" s="16">
        <f t="shared" si="1"/>
        <v>639</v>
      </c>
      <c r="B640" s="17">
        <v>45595.0</v>
      </c>
      <c r="C640" s="18" t="s">
        <v>110</v>
      </c>
      <c r="D640" s="24" t="s">
        <v>853</v>
      </c>
      <c r="H640" s="18" t="s">
        <v>27</v>
      </c>
      <c r="I640" s="18" t="s">
        <v>854</v>
      </c>
      <c r="J640" s="24" t="s">
        <v>415</v>
      </c>
      <c r="K640" s="24" t="s">
        <v>855</v>
      </c>
      <c r="L640" s="23"/>
      <c r="M640" s="23"/>
      <c r="N640" s="23"/>
      <c r="O640" s="17">
        <v>45604.0</v>
      </c>
    </row>
    <row r="641">
      <c r="A641" s="16">
        <f t="shared" si="1"/>
        <v>640</v>
      </c>
      <c r="B641" s="17">
        <v>45600.0</v>
      </c>
      <c r="C641" s="18" t="s">
        <v>87</v>
      </c>
      <c r="D641" s="24" t="s">
        <v>856</v>
      </c>
      <c r="H641" s="40" t="s">
        <v>27</v>
      </c>
      <c r="J641" s="24" t="s">
        <v>457</v>
      </c>
      <c r="K641" s="24" t="s">
        <v>857</v>
      </c>
      <c r="L641" s="23"/>
      <c r="M641" s="23"/>
      <c r="N641" s="23"/>
      <c r="O641" s="23"/>
    </row>
    <row r="642">
      <c r="A642" s="16">
        <f t="shared" si="1"/>
        <v>641</v>
      </c>
      <c r="B642" s="17">
        <v>45601.0</v>
      </c>
      <c r="C642" s="18" t="s">
        <v>147</v>
      </c>
      <c r="D642" s="24" t="s">
        <v>858</v>
      </c>
      <c r="H642" s="18" t="s">
        <v>27</v>
      </c>
      <c r="J642" s="24" t="s">
        <v>415</v>
      </c>
      <c r="K642" s="24" t="s">
        <v>859</v>
      </c>
      <c r="L642" s="23"/>
      <c r="M642" s="23"/>
      <c r="N642" s="23"/>
      <c r="O642" s="17">
        <v>45656.0</v>
      </c>
    </row>
    <row r="643">
      <c r="A643" s="16">
        <f t="shared" si="1"/>
        <v>642</v>
      </c>
      <c r="B643" s="17">
        <v>45601.0</v>
      </c>
      <c r="C643" s="18" t="s">
        <v>87</v>
      </c>
      <c r="D643" s="24" t="s">
        <v>860</v>
      </c>
      <c r="H643" s="40" t="s">
        <v>27</v>
      </c>
      <c r="J643" s="24" t="s">
        <v>415</v>
      </c>
      <c r="K643" s="24" t="s">
        <v>861</v>
      </c>
      <c r="L643" s="23"/>
      <c r="M643" s="23"/>
      <c r="N643" s="17">
        <v>45601.0</v>
      </c>
      <c r="O643" s="23"/>
    </row>
    <row r="644">
      <c r="A644" s="16">
        <f t="shared" si="1"/>
        <v>643</v>
      </c>
      <c r="B644" s="17">
        <v>45602.0</v>
      </c>
      <c r="C644" s="18" t="s">
        <v>312</v>
      </c>
      <c r="D644" s="24" t="s">
        <v>862</v>
      </c>
      <c r="H644" s="40" t="s">
        <v>27</v>
      </c>
      <c r="J644" s="24" t="s">
        <v>415</v>
      </c>
      <c r="K644" s="24" t="s">
        <v>828</v>
      </c>
      <c r="L644" s="23"/>
      <c r="M644" s="23"/>
      <c r="N644" s="17">
        <v>45602.0</v>
      </c>
      <c r="O644" s="23"/>
    </row>
    <row r="645">
      <c r="A645" s="16">
        <f t="shared" si="1"/>
        <v>644</v>
      </c>
      <c r="B645" s="17">
        <v>45603.0</v>
      </c>
      <c r="C645" s="18" t="s">
        <v>312</v>
      </c>
      <c r="D645" s="24" t="s">
        <v>863</v>
      </c>
      <c r="H645" s="40" t="s">
        <v>27</v>
      </c>
      <c r="J645" s="24" t="s">
        <v>415</v>
      </c>
      <c r="K645" s="24" t="s">
        <v>828</v>
      </c>
      <c r="L645" s="23"/>
      <c r="M645" s="23"/>
      <c r="N645" s="17">
        <v>45603.0</v>
      </c>
      <c r="O645" s="23"/>
    </row>
    <row r="646">
      <c r="A646" s="16">
        <f t="shared" si="1"/>
        <v>645</v>
      </c>
      <c r="B646" s="17">
        <v>45604.0</v>
      </c>
      <c r="C646" s="18" t="s">
        <v>752</v>
      </c>
      <c r="D646" s="24" t="s">
        <v>864</v>
      </c>
      <c r="H646" s="40" t="s">
        <v>27</v>
      </c>
      <c r="J646" s="24" t="s">
        <v>415</v>
      </c>
      <c r="K646" s="24" t="s">
        <v>828</v>
      </c>
      <c r="L646" s="23"/>
      <c r="M646" s="23"/>
      <c r="N646" s="17">
        <v>45604.0</v>
      </c>
      <c r="O646" s="23"/>
    </row>
    <row r="647">
      <c r="A647" s="16">
        <f t="shared" si="1"/>
        <v>646</v>
      </c>
      <c r="B647" s="17">
        <v>45604.0</v>
      </c>
      <c r="C647" s="18" t="s">
        <v>110</v>
      </c>
      <c r="D647" s="24" t="s">
        <v>865</v>
      </c>
      <c r="H647" s="40" t="s">
        <v>27</v>
      </c>
      <c r="J647" s="24" t="s">
        <v>415</v>
      </c>
      <c r="K647" s="24" t="s">
        <v>828</v>
      </c>
      <c r="L647" s="23"/>
      <c r="M647" s="23"/>
      <c r="N647" s="17">
        <v>45604.0</v>
      </c>
      <c r="O647" s="23"/>
    </row>
    <row r="648">
      <c r="A648" s="16">
        <f t="shared" si="1"/>
        <v>647</v>
      </c>
      <c r="B648" s="17">
        <v>45607.0</v>
      </c>
      <c r="C648" s="18" t="s">
        <v>110</v>
      </c>
      <c r="D648" s="27" t="s">
        <v>866</v>
      </c>
      <c r="H648" s="18" t="s">
        <v>27</v>
      </c>
      <c r="J648" s="24" t="s">
        <v>415</v>
      </c>
      <c r="K648" s="24" t="s">
        <v>808</v>
      </c>
      <c r="L648" s="23"/>
      <c r="M648" s="23"/>
      <c r="N648" s="23"/>
      <c r="O648" s="17">
        <v>45656.0</v>
      </c>
    </row>
    <row r="649">
      <c r="A649" s="16">
        <f t="shared" si="1"/>
        <v>648</v>
      </c>
      <c r="B649" s="17">
        <v>45608.0</v>
      </c>
      <c r="C649" s="18" t="s">
        <v>87</v>
      </c>
      <c r="D649" s="27" t="s">
        <v>867</v>
      </c>
      <c r="H649" s="40" t="s">
        <v>27</v>
      </c>
      <c r="J649" s="24" t="s">
        <v>457</v>
      </c>
      <c r="K649" s="24" t="s">
        <v>868</v>
      </c>
      <c r="L649" s="23"/>
      <c r="M649" s="23"/>
      <c r="N649" s="17">
        <v>45608.0</v>
      </c>
      <c r="O649" s="23"/>
    </row>
    <row r="650">
      <c r="A650" s="16">
        <f t="shared" si="1"/>
        <v>649</v>
      </c>
      <c r="B650" s="26">
        <v>45610.0</v>
      </c>
      <c r="C650" s="18" t="s">
        <v>87</v>
      </c>
      <c r="D650" s="24" t="s">
        <v>869</v>
      </c>
      <c r="H650" s="18" t="s">
        <v>27</v>
      </c>
      <c r="J650" s="24" t="s">
        <v>415</v>
      </c>
      <c r="K650" s="24" t="s">
        <v>712</v>
      </c>
      <c r="L650" s="23"/>
      <c r="M650" s="23"/>
      <c r="N650" s="23"/>
      <c r="O650" s="17">
        <v>45649.0</v>
      </c>
    </row>
    <row r="651">
      <c r="A651" s="16">
        <f t="shared" si="1"/>
        <v>650</v>
      </c>
      <c r="B651" s="17">
        <v>45609.0</v>
      </c>
      <c r="C651" s="18" t="s">
        <v>110</v>
      </c>
      <c r="D651" s="24" t="s">
        <v>870</v>
      </c>
      <c r="H651" s="33" t="s">
        <v>27</v>
      </c>
      <c r="J651" s="24" t="s">
        <v>415</v>
      </c>
      <c r="K651" s="24" t="s">
        <v>871</v>
      </c>
      <c r="L651" s="23"/>
      <c r="M651" s="23"/>
      <c r="N651" s="23"/>
      <c r="O651" s="17">
        <v>45666.0</v>
      </c>
    </row>
    <row r="652">
      <c r="A652" s="16">
        <f t="shared" si="1"/>
        <v>651</v>
      </c>
      <c r="B652" s="17">
        <v>45611.0</v>
      </c>
      <c r="C652" s="18" t="s">
        <v>110</v>
      </c>
      <c r="D652" s="24" t="s">
        <v>872</v>
      </c>
      <c r="H652" s="40" t="s">
        <v>71</v>
      </c>
      <c r="J652" s="24" t="s">
        <v>415</v>
      </c>
      <c r="K652" s="24" t="s">
        <v>873</v>
      </c>
      <c r="L652" s="23"/>
      <c r="M652" s="23"/>
      <c r="N652" s="23"/>
      <c r="O652" s="23"/>
    </row>
    <row r="653">
      <c r="A653" s="16">
        <f t="shared" si="1"/>
        <v>652</v>
      </c>
      <c r="B653" s="17">
        <v>45611.0</v>
      </c>
      <c r="C653" s="18" t="s">
        <v>92</v>
      </c>
      <c r="D653" s="24" t="s">
        <v>874</v>
      </c>
      <c r="H653" s="40" t="s">
        <v>348</v>
      </c>
      <c r="J653" s="24" t="s">
        <v>415</v>
      </c>
      <c r="K653" s="24" t="s">
        <v>415</v>
      </c>
      <c r="L653" s="23"/>
      <c r="M653" s="23"/>
      <c r="N653" s="23"/>
      <c r="O653" s="23"/>
    </row>
    <row r="654">
      <c r="A654" s="16">
        <f t="shared" si="1"/>
        <v>653</v>
      </c>
      <c r="B654" s="17">
        <v>45611.0</v>
      </c>
      <c r="C654" s="18" t="s">
        <v>312</v>
      </c>
      <c r="D654" s="24" t="s">
        <v>875</v>
      </c>
      <c r="H654" s="40" t="s">
        <v>27</v>
      </c>
      <c r="J654" s="24" t="s">
        <v>415</v>
      </c>
      <c r="K654" s="24" t="s">
        <v>876</v>
      </c>
      <c r="L654" s="23"/>
      <c r="M654" s="23"/>
      <c r="N654" s="17">
        <v>45614.0</v>
      </c>
      <c r="O654" s="23"/>
    </row>
    <row r="655">
      <c r="A655" s="16">
        <f t="shared" si="1"/>
        <v>654</v>
      </c>
      <c r="B655" s="17">
        <v>45610.0</v>
      </c>
      <c r="C655" s="18" t="s">
        <v>110</v>
      </c>
      <c r="D655" s="24" t="s">
        <v>877</v>
      </c>
      <c r="H655" s="40" t="s">
        <v>27</v>
      </c>
      <c r="J655" s="24" t="s">
        <v>415</v>
      </c>
      <c r="K655" s="24" t="s">
        <v>878</v>
      </c>
      <c r="L655" s="23"/>
      <c r="M655" s="23"/>
      <c r="N655" s="17">
        <v>45614.0</v>
      </c>
      <c r="O655" s="23"/>
    </row>
    <row r="656">
      <c r="A656" s="16">
        <f t="shared" si="1"/>
        <v>655</v>
      </c>
      <c r="B656" s="17">
        <v>45611.0</v>
      </c>
      <c r="C656" s="18" t="s">
        <v>110</v>
      </c>
      <c r="D656" s="24" t="s">
        <v>879</v>
      </c>
      <c r="H656" s="40" t="s">
        <v>46</v>
      </c>
      <c r="J656" s="22"/>
      <c r="K656" s="22"/>
      <c r="L656" s="23"/>
      <c r="M656" s="23"/>
      <c r="N656" s="23"/>
      <c r="O656" s="23"/>
    </row>
    <row r="657">
      <c r="A657" s="16">
        <f t="shared" si="1"/>
        <v>656</v>
      </c>
      <c r="B657" s="17">
        <v>45611.0</v>
      </c>
      <c r="C657" s="18" t="s">
        <v>87</v>
      </c>
      <c r="D657" s="29" t="s">
        <v>880</v>
      </c>
      <c r="H657" s="18" t="s">
        <v>27</v>
      </c>
      <c r="J657" s="24" t="s">
        <v>415</v>
      </c>
      <c r="K657" s="24" t="s">
        <v>881</v>
      </c>
      <c r="L657" s="23"/>
      <c r="M657" s="23"/>
      <c r="N657" s="23"/>
      <c r="O657" s="17">
        <v>45649.0</v>
      </c>
    </row>
    <row r="658">
      <c r="A658" s="16">
        <f t="shared" si="1"/>
        <v>657</v>
      </c>
      <c r="B658" s="17">
        <v>45614.0</v>
      </c>
      <c r="C658" s="18" t="s">
        <v>87</v>
      </c>
      <c r="D658" s="24" t="s">
        <v>882</v>
      </c>
      <c r="H658" s="40" t="s">
        <v>71</v>
      </c>
      <c r="I658" s="18" t="s">
        <v>854</v>
      </c>
      <c r="J658" s="24" t="s">
        <v>415</v>
      </c>
      <c r="K658" s="24" t="s">
        <v>883</v>
      </c>
      <c r="L658" s="23"/>
      <c r="M658" s="23"/>
      <c r="N658" s="23"/>
      <c r="O658" s="23"/>
    </row>
    <row r="659">
      <c r="A659" s="16">
        <f t="shared" si="1"/>
        <v>658</v>
      </c>
      <c r="B659" s="17">
        <v>45615.0</v>
      </c>
      <c r="C659" s="18" t="s">
        <v>110</v>
      </c>
      <c r="D659" s="24" t="s">
        <v>884</v>
      </c>
      <c r="H659" s="40" t="s">
        <v>27</v>
      </c>
      <c r="J659" s="24" t="s">
        <v>415</v>
      </c>
      <c r="K659" s="24" t="s">
        <v>876</v>
      </c>
      <c r="L659" s="23"/>
      <c r="M659" s="23"/>
      <c r="N659" s="17">
        <v>45615.0</v>
      </c>
      <c r="O659" s="23"/>
    </row>
    <row r="660">
      <c r="A660" s="16">
        <f t="shared" si="1"/>
        <v>659</v>
      </c>
      <c r="B660" s="17">
        <v>45616.0</v>
      </c>
      <c r="C660" s="18" t="s">
        <v>92</v>
      </c>
      <c r="D660" s="24" t="s">
        <v>885</v>
      </c>
      <c r="H660" s="40" t="s">
        <v>27</v>
      </c>
      <c r="J660" s="24" t="s">
        <v>415</v>
      </c>
      <c r="K660" s="24" t="s">
        <v>876</v>
      </c>
      <c r="L660" s="23"/>
      <c r="M660" s="23"/>
      <c r="N660" s="17">
        <v>45616.0</v>
      </c>
      <c r="O660" s="23"/>
    </row>
    <row r="661">
      <c r="A661" s="16">
        <f t="shared" si="1"/>
        <v>660</v>
      </c>
      <c r="B661" s="17">
        <v>45617.0</v>
      </c>
      <c r="C661" s="18" t="s">
        <v>92</v>
      </c>
      <c r="D661" s="24" t="s">
        <v>886</v>
      </c>
      <c r="J661" s="24" t="s">
        <v>415</v>
      </c>
      <c r="K661" s="24" t="s">
        <v>887</v>
      </c>
      <c r="L661" s="23"/>
      <c r="M661" s="23"/>
      <c r="N661" s="23"/>
      <c r="O661" s="23"/>
    </row>
    <row r="662">
      <c r="A662" s="16">
        <f t="shared" si="1"/>
        <v>661</v>
      </c>
      <c r="B662" s="17">
        <v>45616.0</v>
      </c>
      <c r="C662" s="18" t="s">
        <v>87</v>
      </c>
      <c r="D662" s="24" t="s">
        <v>888</v>
      </c>
      <c r="H662" s="40" t="s">
        <v>27</v>
      </c>
      <c r="J662" s="24" t="s">
        <v>415</v>
      </c>
      <c r="K662" s="24" t="s">
        <v>889</v>
      </c>
      <c r="L662" s="23"/>
      <c r="M662" s="23"/>
      <c r="N662" s="17">
        <v>45616.0</v>
      </c>
      <c r="O662" s="23"/>
    </row>
    <row r="663">
      <c r="A663" s="16">
        <f t="shared" si="1"/>
        <v>662</v>
      </c>
      <c r="B663" s="17">
        <v>45618.0</v>
      </c>
      <c r="C663" s="18" t="s">
        <v>110</v>
      </c>
      <c r="D663" s="24" t="s">
        <v>890</v>
      </c>
      <c r="H663" s="40" t="s">
        <v>27</v>
      </c>
      <c r="J663" s="24" t="s">
        <v>415</v>
      </c>
      <c r="K663" s="24" t="s">
        <v>891</v>
      </c>
      <c r="L663" s="23"/>
      <c r="M663" s="23"/>
      <c r="N663" s="23"/>
      <c r="O663" s="23"/>
    </row>
    <row r="664">
      <c r="A664" s="16">
        <f t="shared" si="1"/>
        <v>663</v>
      </c>
      <c r="B664" s="17">
        <v>45618.0</v>
      </c>
      <c r="C664" s="18" t="s">
        <v>490</v>
      </c>
      <c r="D664" s="24" t="s">
        <v>892</v>
      </c>
      <c r="H664" s="40" t="s">
        <v>27</v>
      </c>
      <c r="J664" s="24" t="s">
        <v>415</v>
      </c>
      <c r="K664" s="24" t="s">
        <v>828</v>
      </c>
      <c r="L664" s="23"/>
      <c r="M664" s="23"/>
      <c r="N664" s="17">
        <v>45618.0</v>
      </c>
      <c r="O664" s="23"/>
    </row>
    <row r="665">
      <c r="A665" s="16">
        <f t="shared" si="1"/>
        <v>664</v>
      </c>
      <c r="B665" s="17">
        <v>45621.0</v>
      </c>
      <c r="C665" s="18" t="s">
        <v>87</v>
      </c>
      <c r="D665" s="24" t="s">
        <v>893</v>
      </c>
      <c r="H665" s="40" t="s">
        <v>27</v>
      </c>
      <c r="J665" s="24" t="s">
        <v>415</v>
      </c>
      <c r="K665" s="24" t="s">
        <v>828</v>
      </c>
      <c r="L665" s="23"/>
      <c r="M665" s="23"/>
      <c r="N665" s="17">
        <v>45621.0</v>
      </c>
      <c r="O665" s="23"/>
    </row>
    <row r="666">
      <c r="A666" s="16">
        <f t="shared" si="1"/>
        <v>665</v>
      </c>
      <c r="B666" s="17">
        <v>45621.0</v>
      </c>
      <c r="C666" s="18" t="s">
        <v>110</v>
      </c>
      <c r="D666" s="24" t="s">
        <v>894</v>
      </c>
      <c r="H666" s="18" t="s">
        <v>27</v>
      </c>
      <c r="J666" s="24" t="s">
        <v>457</v>
      </c>
      <c r="K666" s="24" t="s">
        <v>895</v>
      </c>
      <c r="L666" s="23"/>
      <c r="M666" s="23"/>
      <c r="N666" s="23"/>
      <c r="O666" s="23"/>
    </row>
    <row r="667">
      <c r="A667" s="16">
        <f t="shared" si="1"/>
        <v>666</v>
      </c>
      <c r="B667" s="17">
        <v>45621.0</v>
      </c>
      <c r="C667" s="18" t="s">
        <v>92</v>
      </c>
      <c r="D667" s="24" t="s">
        <v>896</v>
      </c>
      <c r="H667" s="40" t="s">
        <v>27</v>
      </c>
      <c r="J667" s="24" t="s">
        <v>415</v>
      </c>
      <c r="K667" s="24" t="s">
        <v>828</v>
      </c>
      <c r="L667" s="23"/>
      <c r="M667" s="23"/>
      <c r="N667" s="17">
        <v>45621.0</v>
      </c>
      <c r="O667" s="23"/>
    </row>
    <row r="668">
      <c r="A668" s="16">
        <f t="shared" si="1"/>
        <v>667</v>
      </c>
      <c r="B668" s="17">
        <v>45622.0</v>
      </c>
      <c r="C668" s="18" t="s">
        <v>110</v>
      </c>
      <c r="D668" s="24" t="s">
        <v>897</v>
      </c>
      <c r="H668" s="18" t="s">
        <v>27</v>
      </c>
      <c r="J668" s="24" t="s">
        <v>415</v>
      </c>
      <c r="K668" s="24" t="s">
        <v>898</v>
      </c>
      <c r="L668" s="23"/>
      <c r="M668" s="23"/>
      <c r="N668" s="23"/>
      <c r="O668" s="17">
        <v>45649.0</v>
      </c>
    </row>
    <row r="669">
      <c r="A669" s="16">
        <f t="shared" si="1"/>
        <v>668</v>
      </c>
      <c r="B669" s="17">
        <v>45622.0</v>
      </c>
      <c r="C669" s="18" t="s">
        <v>92</v>
      </c>
      <c r="D669" s="24" t="s">
        <v>899</v>
      </c>
      <c r="H669" s="33" t="s">
        <v>27</v>
      </c>
      <c r="J669" s="24" t="s">
        <v>415</v>
      </c>
      <c r="K669" s="24" t="s">
        <v>900</v>
      </c>
      <c r="L669" s="23"/>
      <c r="M669" s="23"/>
      <c r="N669" s="23"/>
      <c r="O669" s="17">
        <v>45714.0</v>
      </c>
    </row>
    <row r="670">
      <c r="A670" s="16">
        <f t="shared" si="1"/>
        <v>669</v>
      </c>
      <c r="B670" s="17">
        <v>45622.0</v>
      </c>
      <c r="C670" s="18" t="s">
        <v>453</v>
      </c>
      <c r="D670" s="24" t="s">
        <v>901</v>
      </c>
      <c r="H670" s="40" t="s">
        <v>27</v>
      </c>
      <c r="J670" s="24" t="s">
        <v>415</v>
      </c>
      <c r="K670" s="24" t="s">
        <v>828</v>
      </c>
      <c r="L670" s="23"/>
      <c r="M670" s="23"/>
      <c r="N670" s="17">
        <v>45622.0</v>
      </c>
      <c r="O670" s="23"/>
    </row>
    <row r="671">
      <c r="A671" s="16">
        <f t="shared" si="1"/>
        <v>670</v>
      </c>
      <c r="B671" s="17">
        <v>45623.0</v>
      </c>
      <c r="C671" s="18" t="s">
        <v>902</v>
      </c>
      <c r="D671" s="24" t="s">
        <v>903</v>
      </c>
      <c r="H671" s="40" t="s">
        <v>27</v>
      </c>
      <c r="J671" s="24" t="s">
        <v>415</v>
      </c>
      <c r="K671" s="24" t="s">
        <v>904</v>
      </c>
      <c r="L671" s="23"/>
      <c r="M671" s="23"/>
      <c r="N671" s="17">
        <v>45623.0</v>
      </c>
      <c r="O671" s="23"/>
    </row>
    <row r="672">
      <c r="A672" s="16">
        <f t="shared" si="1"/>
        <v>671</v>
      </c>
      <c r="B672" s="17">
        <v>45624.0</v>
      </c>
      <c r="C672" s="18" t="s">
        <v>110</v>
      </c>
      <c r="D672" s="24" t="s">
        <v>905</v>
      </c>
      <c r="H672" s="40" t="s">
        <v>27</v>
      </c>
      <c r="J672" s="24" t="s">
        <v>415</v>
      </c>
      <c r="K672" s="24" t="s">
        <v>906</v>
      </c>
      <c r="L672" s="23"/>
      <c r="M672" s="23"/>
      <c r="N672" s="17">
        <v>45624.0</v>
      </c>
      <c r="O672" s="23"/>
    </row>
    <row r="673">
      <c r="A673" s="16">
        <f t="shared" si="1"/>
        <v>672</v>
      </c>
      <c r="B673" s="17">
        <v>45624.0</v>
      </c>
      <c r="C673" s="18" t="s">
        <v>147</v>
      </c>
      <c r="D673" s="24" t="s">
        <v>907</v>
      </c>
      <c r="H673" s="40" t="s">
        <v>27</v>
      </c>
      <c r="J673" s="24" t="s">
        <v>415</v>
      </c>
      <c r="K673" s="24" t="s">
        <v>908</v>
      </c>
      <c r="L673" s="23"/>
      <c r="M673" s="23"/>
      <c r="N673" s="17">
        <v>45624.0</v>
      </c>
      <c r="O673" s="23"/>
    </row>
    <row r="674">
      <c r="A674" s="16">
        <f t="shared" si="1"/>
        <v>673</v>
      </c>
      <c r="B674" s="17">
        <v>45625.0</v>
      </c>
      <c r="C674" s="18" t="s">
        <v>312</v>
      </c>
      <c r="D674" s="24" t="s">
        <v>909</v>
      </c>
      <c r="H674" s="40" t="s">
        <v>27</v>
      </c>
      <c r="J674" s="24" t="s">
        <v>415</v>
      </c>
      <c r="K674" s="24" t="s">
        <v>910</v>
      </c>
      <c r="L674" s="23"/>
      <c r="M674" s="23"/>
      <c r="N674" s="17">
        <v>45625.0</v>
      </c>
      <c r="O674" s="23"/>
    </row>
    <row r="675">
      <c r="A675" s="16">
        <f t="shared" si="1"/>
        <v>674</v>
      </c>
      <c r="B675" s="17">
        <v>45628.0</v>
      </c>
      <c r="C675" s="18" t="s">
        <v>110</v>
      </c>
      <c r="D675" s="24" t="s">
        <v>911</v>
      </c>
      <c r="H675" s="18" t="s">
        <v>27</v>
      </c>
      <c r="J675" s="24" t="s">
        <v>415</v>
      </c>
      <c r="K675" s="24" t="s">
        <v>912</v>
      </c>
      <c r="L675" s="23"/>
      <c r="M675" s="23"/>
      <c r="N675" s="23"/>
      <c r="O675" s="17">
        <v>45649.0</v>
      </c>
    </row>
    <row r="676">
      <c r="A676" s="16">
        <f t="shared" si="1"/>
        <v>675</v>
      </c>
      <c r="B676" s="17">
        <v>45628.0</v>
      </c>
      <c r="C676" s="18" t="s">
        <v>92</v>
      </c>
      <c r="D676" s="24" t="s">
        <v>913</v>
      </c>
      <c r="H676" s="18" t="s">
        <v>27</v>
      </c>
      <c r="J676" s="24" t="s">
        <v>415</v>
      </c>
      <c r="K676" s="24" t="s">
        <v>914</v>
      </c>
      <c r="L676" s="23"/>
      <c r="M676" s="23"/>
      <c r="N676" s="23"/>
      <c r="O676" s="17">
        <v>45649.0</v>
      </c>
    </row>
    <row r="677">
      <c r="A677" s="16">
        <f t="shared" si="1"/>
        <v>676</v>
      </c>
      <c r="B677" s="17">
        <v>45628.0</v>
      </c>
      <c r="C677" s="18" t="s">
        <v>312</v>
      </c>
      <c r="D677" s="24" t="s">
        <v>915</v>
      </c>
      <c r="H677" s="40" t="s">
        <v>27</v>
      </c>
      <c r="J677" s="24" t="s">
        <v>415</v>
      </c>
      <c r="K677" s="24" t="s">
        <v>828</v>
      </c>
      <c r="L677" s="23"/>
      <c r="M677" s="23"/>
      <c r="N677" s="17">
        <v>45628.0</v>
      </c>
      <c r="O677" s="23"/>
    </row>
    <row r="678">
      <c r="A678" s="16">
        <f t="shared" si="1"/>
        <v>677</v>
      </c>
      <c r="B678" s="17">
        <v>45628.0</v>
      </c>
      <c r="C678" s="18" t="s">
        <v>87</v>
      </c>
      <c r="D678" s="59" t="s">
        <v>916</v>
      </c>
      <c r="J678" s="24" t="s">
        <v>415</v>
      </c>
      <c r="K678" s="24" t="s">
        <v>917</v>
      </c>
      <c r="L678" s="23"/>
      <c r="M678" s="23"/>
      <c r="N678" s="23"/>
      <c r="O678" s="23"/>
    </row>
    <row r="679">
      <c r="A679" s="16">
        <f t="shared" si="1"/>
        <v>678</v>
      </c>
      <c r="B679" s="17">
        <v>45628.0</v>
      </c>
      <c r="C679" s="18" t="s">
        <v>87</v>
      </c>
      <c r="D679" s="59" t="s">
        <v>918</v>
      </c>
      <c r="H679" s="40" t="s">
        <v>27</v>
      </c>
      <c r="J679" s="24" t="s">
        <v>415</v>
      </c>
      <c r="K679" s="24" t="s">
        <v>919</v>
      </c>
      <c r="L679" s="23"/>
      <c r="M679" s="23"/>
      <c r="N679" s="17">
        <v>45628.0</v>
      </c>
      <c r="O679" s="23"/>
    </row>
    <row r="680">
      <c r="A680" s="16">
        <f t="shared" si="1"/>
        <v>679</v>
      </c>
      <c r="B680" s="17">
        <v>45629.0</v>
      </c>
      <c r="C680" s="18" t="s">
        <v>110</v>
      </c>
      <c r="D680" s="24" t="s">
        <v>920</v>
      </c>
      <c r="H680" s="40" t="s">
        <v>27</v>
      </c>
      <c r="J680" s="24" t="s">
        <v>415</v>
      </c>
      <c r="K680" s="24" t="s">
        <v>828</v>
      </c>
      <c r="L680" s="23"/>
      <c r="M680" s="23"/>
      <c r="N680" s="17">
        <v>45629.0</v>
      </c>
      <c r="O680" s="23"/>
    </row>
    <row r="681">
      <c r="A681" s="16">
        <f t="shared" si="1"/>
        <v>680</v>
      </c>
      <c r="B681" s="17">
        <v>45629.0</v>
      </c>
      <c r="C681" s="18" t="s">
        <v>312</v>
      </c>
      <c r="D681" s="24" t="s">
        <v>921</v>
      </c>
      <c r="H681" s="40" t="s">
        <v>27</v>
      </c>
      <c r="J681" s="24" t="s">
        <v>415</v>
      </c>
      <c r="K681" s="24" t="s">
        <v>828</v>
      </c>
      <c r="L681" s="23"/>
      <c r="M681" s="23"/>
      <c r="N681" s="23"/>
      <c r="O681" s="23"/>
    </row>
    <row r="682">
      <c r="A682" s="16">
        <f t="shared" si="1"/>
        <v>681</v>
      </c>
      <c r="B682" s="17">
        <v>45629.0</v>
      </c>
      <c r="C682" s="18" t="s">
        <v>87</v>
      </c>
      <c r="D682" s="24" t="s">
        <v>922</v>
      </c>
      <c r="H682" s="40" t="s">
        <v>27</v>
      </c>
      <c r="J682" s="24" t="s">
        <v>415</v>
      </c>
      <c r="K682" s="24" t="s">
        <v>828</v>
      </c>
      <c r="L682" s="23"/>
      <c r="M682" s="23"/>
      <c r="N682" s="23"/>
      <c r="O682" s="23"/>
    </row>
    <row r="683">
      <c r="A683" s="16">
        <f t="shared" si="1"/>
        <v>682</v>
      </c>
      <c r="B683" s="17">
        <v>45629.0</v>
      </c>
      <c r="C683" s="18" t="s">
        <v>147</v>
      </c>
      <c r="D683" s="59" t="s">
        <v>923</v>
      </c>
      <c r="H683" s="40" t="s">
        <v>27</v>
      </c>
      <c r="J683" s="24" t="s">
        <v>415</v>
      </c>
      <c r="K683" s="24" t="s">
        <v>924</v>
      </c>
      <c r="L683" s="23"/>
      <c r="M683" s="23"/>
      <c r="N683" s="23"/>
      <c r="O683" s="23"/>
    </row>
    <row r="684">
      <c r="A684" s="16">
        <f t="shared" si="1"/>
        <v>683</v>
      </c>
      <c r="B684" s="17">
        <v>45635.0</v>
      </c>
      <c r="C684" s="18" t="s">
        <v>312</v>
      </c>
      <c r="D684" s="24" t="s">
        <v>925</v>
      </c>
      <c r="H684" s="40" t="s">
        <v>27</v>
      </c>
      <c r="J684" s="24" t="s">
        <v>415</v>
      </c>
      <c r="K684" s="24" t="s">
        <v>828</v>
      </c>
      <c r="L684" s="23"/>
      <c r="M684" s="23"/>
      <c r="N684" s="17">
        <v>45635.0</v>
      </c>
      <c r="O684" s="23"/>
    </row>
    <row r="685">
      <c r="A685" s="16">
        <f t="shared" si="1"/>
        <v>684</v>
      </c>
      <c r="B685" s="17">
        <v>45635.0</v>
      </c>
      <c r="C685" s="18" t="s">
        <v>110</v>
      </c>
      <c r="D685" s="24" t="s">
        <v>926</v>
      </c>
      <c r="H685" s="40" t="s">
        <v>27</v>
      </c>
      <c r="J685" s="24" t="s">
        <v>415</v>
      </c>
      <c r="K685" s="24" t="s">
        <v>927</v>
      </c>
      <c r="L685" s="23"/>
      <c r="M685" s="23"/>
      <c r="N685" s="17">
        <v>45635.0</v>
      </c>
      <c r="O685" s="23"/>
    </row>
    <row r="686">
      <c r="A686" s="16">
        <f t="shared" si="1"/>
        <v>685</v>
      </c>
      <c r="B686" s="17">
        <v>45635.0</v>
      </c>
      <c r="C686" s="18" t="s">
        <v>110</v>
      </c>
      <c r="D686" s="59" t="s">
        <v>928</v>
      </c>
      <c r="H686" s="40" t="s">
        <v>27</v>
      </c>
      <c r="J686" s="24" t="s">
        <v>415</v>
      </c>
      <c r="K686" s="24" t="s">
        <v>828</v>
      </c>
      <c r="L686" s="23"/>
      <c r="M686" s="23"/>
      <c r="N686" s="17">
        <v>45635.0</v>
      </c>
      <c r="O686" s="23"/>
    </row>
    <row r="687">
      <c r="A687" s="16">
        <f t="shared" si="1"/>
        <v>686</v>
      </c>
      <c r="B687" s="17">
        <v>45636.0</v>
      </c>
      <c r="C687" s="18" t="s">
        <v>110</v>
      </c>
      <c r="D687" s="24" t="s">
        <v>929</v>
      </c>
      <c r="J687" s="22"/>
      <c r="K687" s="22"/>
      <c r="L687" s="23"/>
      <c r="M687" s="23"/>
      <c r="N687" s="23"/>
      <c r="O687" s="23"/>
    </row>
    <row r="688">
      <c r="A688" s="16">
        <f t="shared" si="1"/>
        <v>687</v>
      </c>
      <c r="B688" s="17">
        <v>45636.0</v>
      </c>
      <c r="C688" s="18" t="s">
        <v>110</v>
      </c>
      <c r="D688" s="24" t="s">
        <v>930</v>
      </c>
      <c r="J688" s="22"/>
      <c r="K688" s="22"/>
      <c r="L688" s="23"/>
      <c r="M688" s="23"/>
      <c r="N688" s="23"/>
      <c r="O688" s="23"/>
    </row>
    <row r="689">
      <c r="A689" s="16">
        <f t="shared" si="1"/>
        <v>688</v>
      </c>
      <c r="B689" s="17">
        <v>45636.0</v>
      </c>
      <c r="C689" s="18" t="s">
        <v>453</v>
      </c>
      <c r="D689" s="24" t="s">
        <v>931</v>
      </c>
      <c r="I689" s="18" t="s">
        <v>24</v>
      </c>
      <c r="J689" s="22"/>
      <c r="K689" s="22"/>
      <c r="L689" s="23"/>
      <c r="M689" s="23"/>
      <c r="N689" s="23"/>
      <c r="O689" s="23"/>
    </row>
    <row r="690">
      <c r="A690" s="16">
        <f t="shared" si="1"/>
        <v>689</v>
      </c>
      <c r="B690" s="17">
        <v>45636.0</v>
      </c>
      <c r="C690" s="18" t="s">
        <v>110</v>
      </c>
      <c r="D690" s="24" t="s">
        <v>932</v>
      </c>
      <c r="H690" s="18" t="s">
        <v>27</v>
      </c>
      <c r="J690" s="24" t="s">
        <v>415</v>
      </c>
      <c r="K690" s="24" t="s">
        <v>808</v>
      </c>
      <c r="L690" s="23"/>
      <c r="M690" s="23"/>
      <c r="N690" s="23"/>
      <c r="O690" s="17">
        <v>45656.0</v>
      </c>
    </row>
    <row r="691">
      <c r="A691" s="16">
        <f t="shared" si="1"/>
        <v>690</v>
      </c>
      <c r="B691" s="17">
        <v>45636.0</v>
      </c>
      <c r="C691" s="18" t="s">
        <v>110</v>
      </c>
      <c r="D691" s="59" t="s">
        <v>933</v>
      </c>
      <c r="H691" s="40" t="s">
        <v>27</v>
      </c>
      <c r="J691" s="24" t="s">
        <v>415</v>
      </c>
      <c r="K691" s="24" t="s">
        <v>828</v>
      </c>
      <c r="L691" s="23"/>
      <c r="M691" s="23"/>
      <c r="N691" s="17">
        <v>45636.0</v>
      </c>
      <c r="O691" s="23"/>
    </row>
    <row r="692">
      <c r="A692" s="16">
        <f t="shared" si="1"/>
        <v>691</v>
      </c>
      <c r="B692" s="17">
        <v>45636.0</v>
      </c>
      <c r="C692" s="18" t="s">
        <v>312</v>
      </c>
      <c r="D692" s="24" t="s">
        <v>934</v>
      </c>
      <c r="H692" s="40" t="s">
        <v>27</v>
      </c>
      <c r="J692" s="24" t="s">
        <v>415</v>
      </c>
      <c r="K692" s="24" t="s">
        <v>828</v>
      </c>
      <c r="L692" s="23"/>
      <c r="M692" s="23"/>
      <c r="N692" s="17">
        <v>45636.0</v>
      </c>
      <c r="O692" s="23"/>
    </row>
    <row r="693">
      <c r="A693" s="16">
        <f t="shared" si="1"/>
        <v>692</v>
      </c>
      <c r="B693" s="17">
        <v>45639.0</v>
      </c>
      <c r="C693" s="18" t="s">
        <v>110</v>
      </c>
      <c r="D693" s="24" t="s">
        <v>935</v>
      </c>
      <c r="H693" s="18" t="s">
        <v>27</v>
      </c>
      <c r="J693" s="24" t="s">
        <v>415</v>
      </c>
      <c r="K693" s="24" t="s">
        <v>808</v>
      </c>
      <c r="L693" s="23"/>
      <c r="M693" s="23"/>
      <c r="N693" s="23"/>
      <c r="O693" s="17">
        <v>45656.0</v>
      </c>
    </row>
    <row r="694">
      <c r="A694" s="16">
        <f t="shared" si="1"/>
        <v>693</v>
      </c>
      <c r="B694" s="17">
        <v>45644.0</v>
      </c>
      <c r="C694" s="18" t="s">
        <v>147</v>
      </c>
      <c r="D694" s="24" t="s">
        <v>936</v>
      </c>
      <c r="H694" s="40" t="s">
        <v>27</v>
      </c>
      <c r="J694" s="24" t="s">
        <v>457</v>
      </c>
      <c r="K694" s="24" t="s">
        <v>828</v>
      </c>
      <c r="L694" s="23"/>
      <c r="M694" s="23"/>
      <c r="N694" s="17">
        <v>45644.0</v>
      </c>
      <c r="O694" s="23"/>
    </row>
    <row r="695">
      <c r="A695" s="16">
        <f t="shared" si="1"/>
        <v>694</v>
      </c>
      <c r="B695" s="17">
        <v>45646.0</v>
      </c>
      <c r="C695" s="18" t="s">
        <v>87</v>
      </c>
      <c r="D695" s="59" t="s">
        <v>937</v>
      </c>
      <c r="H695" s="40" t="s">
        <v>27</v>
      </c>
      <c r="J695" s="24" t="s">
        <v>457</v>
      </c>
      <c r="K695" s="24" t="s">
        <v>828</v>
      </c>
      <c r="L695" s="23"/>
      <c r="M695" s="23"/>
      <c r="N695" s="17">
        <v>45646.0</v>
      </c>
      <c r="O695" s="23"/>
    </row>
    <row r="696">
      <c r="A696" s="16">
        <f t="shared" si="1"/>
        <v>695</v>
      </c>
      <c r="B696" s="17">
        <v>45649.0</v>
      </c>
      <c r="C696" s="18" t="s">
        <v>312</v>
      </c>
      <c r="D696" s="24" t="s">
        <v>938</v>
      </c>
      <c r="H696" s="40" t="s">
        <v>27</v>
      </c>
      <c r="J696" s="24" t="s">
        <v>457</v>
      </c>
      <c r="K696" s="24" t="s">
        <v>828</v>
      </c>
      <c r="L696" s="23"/>
      <c r="M696" s="23"/>
      <c r="N696" s="17">
        <v>45649.0</v>
      </c>
      <c r="O696" s="23"/>
    </row>
    <row r="697">
      <c r="A697" s="16">
        <f t="shared" si="1"/>
        <v>696</v>
      </c>
      <c r="B697" s="17">
        <v>45651.0</v>
      </c>
      <c r="C697" s="18" t="s">
        <v>110</v>
      </c>
      <c r="D697" s="24" t="s">
        <v>939</v>
      </c>
      <c r="H697" s="40" t="s">
        <v>27</v>
      </c>
      <c r="J697" s="24" t="s">
        <v>457</v>
      </c>
      <c r="K697" s="24" t="s">
        <v>940</v>
      </c>
      <c r="L697" s="23"/>
      <c r="M697" s="23"/>
      <c r="N697" s="17">
        <v>45651.0</v>
      </c>
      <c r="O697" s="23"/>
    </row>
    <row r="698">
      <c r="A698" s="16">
        <f t="shared" si="1"/>
        <v>697</v>
      </c>
      <c r="B698" s="17">
        <v>45653.0</v>
      </c>
      <c r="C698" s="18" t="s">
        <v>312</v>
      </c>
      <c r="D698" s="24" t="s">
        <v>941</v>
      </c>
      <c r="H698" s="40" t="s">
        <v>27</v>
      </c>
      <c r="J698" s="24" t="s">
        <v>457</v>
      </c>
      <c r="K698" s="24" t="s">
        <v>828</v>
      </c>
      <c r="L698" s="23"/>
      <c r="M698" s="23"/>
      <c r="N698" s="17">
        <v>45653.0</v>
      </c>
      <c r="O698" s="23"/>
    </row>
    <row r="699">
      <c r="A699" s="16">
        <f t="shared" si="1"/>
        <v>698</v>
      </c>
      <c r="B699" s="17">
        <v>45657.0</v>
      </c>
      <c r="C699" s="18" t="s">
        <v>453</v>
      </c>
      <c r="D699" s="24" t="s">
        <v>942</v>
      </c>
      <c r="H699" s="40" t="s">
        <v>27</v>
      </c>
      <c r="J699" s="24" t="s">
        <v>415</v>
      </c>
      <c r="K699" s="24" t="s">
        <v>725</v>
      </c>
      <c r="L699" s="23"/>
      <c r="M699" s="23"/>
      <c r="N699" s="17">
        <v>45666.0</v>
      </c>
      <c r="O699" s="23"/>
    </row>
    <row r="700">
      <c r="A700" s="16">
        <f t="shared" si="1"/>
        <v>699</v>
      </c>
      <c r="B700" s="17">
        <v>45657.0</v>
      </c>
      <c r="C700" s="18" t="s">
        <v>87</v>
      </c>
      <c r="D700" s="24" t="s">
        <v>943</v>
      </c>
      <c r="H700" s="40" t="s">
        <v>27</v>
      </c>
      <c r="J700" s="24" t="s">
        <v>415</v>
      </c>
      <c r="K700" s="24" t="s">
        <v>725</v>
      </c>
      <c r="L700" s="23"/>
      <c r="M700" s="23"/>
      <c r="N700" s="17">
        <v>45666.0</v>
      </c>
      <c r="O700" s="23"/>
    </row>
    <row r="701">
      <c r="A701" s="16">
        <f t="shared" si="1"/>
        <v>700</v>
      </c>
      <c r="B701" s="66">
        <v>45659.0</v>
      </c>
      <c r="C701" s="18" t="s">
        <v>92</v>
      </c>
      <c r="D701" s="24" t="s">
        <v>944</v>
      </c>
      <c r="J701" s="22"/>
      <c r="K701" s="22"/>
      <c r="L701" s="23"/>
      <c r="M701" s="23"/>
      <c r="N701" s="23"/>
      <c r="O701" s="23"/>
    </row>
    <row r="702">
      <c r="A702" s="16">
        <f t="shared" si="1"/>
        <v>701</v>
      </c>
      <c r="B702" s="66">
        <v>45659.0</v>
      </c>
      <c r="C702" s="18" t="s">
        <v>87</v>
      </c>
      <c r="D702" s="24" t="s">
        <v>945</v>
      </c>
      <c r="H702" s="40" t="s">
        <v>27</v>
      </c>
      <c r="J702" s="24" t="s">
        <v>415</v>
      </c>
      <c r="K702" s="24" t="s">
        <v>725</v>
      </c>
      <c r="L702" s="23"/>
      <c r="M702" s="23"/>
      <c r="N702" s="17">
        <v>45666.0</v>
      </c>
      <c r="O702" s="23"/>
    </row>
    <row r="703">
      <c r="A703" s="16">
        <f t="shared" si="1"/>
        <v>702</v>
      </c>
      <c r="B703" s="66">
        <v>45659.0</v>
      </c>
      <c r="C703" s="18" t="s">
        <v>110</v>
      </c>
      <c r="D703" s="24" t="s">
        <v>946</v>
      </c>
      <c r="H703" s="40" t="s">
        <v>31</v>
      </c>
      <c r="J703" s="24" t="s">
        <v>415</v>
      </c>
      <c r="K703" s="24" t="s">
        <v>725</v>
      </c>
      <c r="L703" s="23"/>
      <c r="M703" s="23"/>
      <c r="N703" s="23"/>
      <c r="O703" s="23"/>
    </row>
    <row r="704">
      <c r="A704" s="16">
        <f t="shared" si="1"/>
        <v>703</v>
      </c>
      <c r="B704" s="66">
        <v>45659.0</v>
      </c>
      <c r="C704" s="18" t="s">
        <v>147</v>
      </c>
      <c r="D704" s="59" t="s">
        <v>947</v>
      </c>
      <c r="H704" s="33" t="s">
        <v>27</v>
      </c>
      <c r="J704" s="24" t="s">
        <v>415</v>
      </c>
      <c r="K704" s="24" t="s">
        <v>948</v>
      </c>
      <c r="L704" s="23"/>
      <c r="M704" s="23"/>
      <c r="N704" s="23"/>
      <c r="O704" s="17">
        <v>45671.0</v>
      </c>
    </row>
    <row r="705">
      <c r="A705" s="16">
        <f t="shared" si="1"/>
        <v>704</v>
      </c>
      <c r="B705" s="66">
        <v>45664.0</v>
      </c>
      <c r="C705" s="18" t="s">
        <v>147</v>
      </c>
      <c r="D705" s="24" t="s">
        <v>949</v>
      </c>
      <c r="H705" s="33" t="s">
        <v>27</v>
      </c>
      <c r="J705" s="24" t="s">
        <v>419</v>
      </c>
      <c r="K705" s="24" t="s">
        <v>950</v>
      </c>
      <c r="L705" s="23"/>
      <c r="M705" s="23"/>
      <c r="N705" s="23"/>
      <c r="O705" s="17">
        <v>45693.0</v>
      </c>
    </row>
    <row r="706">
      <c r="A706" s="16">
        <f t="shared" si="1"/>
        <v>705</v>
      </c>
      <c r="B706" s="17">
        <v>45663.0</v>
      </c>
      <c r="C706" s="18" t="s">
        <v>110</v>
      </c>
      <c r="D706" s="24" t="s">
        <v>951</v>
      </c>
      <c r="H706" s="33" t="s">
        <v>27</v>
      </c>
      <c r="I706" s="18" t="s">
        <v>65</v>
      </c>
      <c r="J706" s="24" t="s">
        <v>415</v>
      </c>
      <c r="K706" s="24" t="s">
        <v>952</v>
      </c>
      <c r="L706" s="23"/>
      <c r="M706" s="23"/>
      <c r="N706" s="23"/>
      <c r="O706" s="17">
        <v>45671.0</v>
      </c>
    </row>
    <row r="707">
      <c r="A707" s="16">
        <f t="shared" si="1"/>
        <v>706</v>
      </c>
      <c r="B707" s="17">
        <v>45667.0</v>
      </c>
      <c r="C707" s="18" t="s">
        <v>312</v>
      </c>
      <c r="D707" s="24" t="s">
        <v>953</v>
      </c>
      <c r="H707" s="40" t="s">
        <v>27</v>
      </c>
      <c r="J707" s="24" t="s">
        <v>415</v>
      </c>
      <c r="K707" s="24" t="s">
        <v>954</v>
      </c>
      <c r="L707" s="23"/>
      <c r="M707" s="23"/>
      <c r="N707" s="17">
        <v>45667.0</v>
      </c>
      <c r="O707" s="23"/>
    </row>
    <row r="708">
      <c r="A708" s="16">
        <f t="shared" si="1"/>
        <v>707</v>
      </c>
      <c r="B708" s="17">
        <v>45672.0</v>
      </c>
      <c r="C708" s="18" t="s">
        <v>92</v>
      </c>
      <c r="D708" s="24" t="s">
        <v>955</v>
      </c>
      <c r="H708" s="40" t="s">
        <v>27</v>
      </c>
      <c r="J708" s="24" t="s">
        <v>457</v>
      </c>
      <c r="K708" s="24" t="s">
        <v>956</v>
      </c>
      <c r="L708" s="17">
        <v>45306.0</v>
      </c>
      <c r="M708" s="23"/>
      <c r="N708" s="23"/>
      <c r="O708" s="23"/>
    </row>
    <row r="709">
      <c r="A709" s="16">
        <f t="shared" si="1"/>
        <v>708</v>
      </c>
      <c r="B709" s="17">
        <v>45672.0</v>
      </c>
      <c r="C709" s="18" t="s">
        <v>92</v>
      </c>
      <c r="D709" s="24" t="s">
        <v>957</v>
      </c>
      <c r="H709" s="33" t="s">
        <v>27</v>
      </c>
      <c r="J709" s="24" t="s">
        <v>415</v>
      </c>
      <c r="K709" s="24" t="s">
        <v>958</v>
      </c>
      <c r="L709" s="23"/>
      <c r="M709" s="23"/>
      <c r="N709" s="23"/>
      <c r="O709" s="17">
        <v>45674.0</v>
      </c>
    </row>
    <row r="710">
      <c r="A710" s="16">
        <f t="shared" si="1"/>
        <v>709</v>
      </c>
      <c r="B710" s="17">
        <v>45673.0</v>
      </c>
      <c r="C710" s="18" t="s">
        <v>312</v>
      </c>
      <c r="D710" s="24" t="s">
        <v>959</v>
      </c>
      <c r="H710" s="40" t="s">
        <v>27</v>
      </c>
      <c r="J710" s="24" t="s">
        <v>457</v>
      </c>
      <c r="K710" s="24" t="s">
        <v>960</v>
      </c>
      <c r="L710" s="17">
        <v>45673.0</v>
      </c>
      <c r="M710" s="23"/>
      <c r="N710" s="23"/>
      <c r="O710" s="23"/>
    </row>
    <row r="711">
      <c r="A711" s="16">
        <f t="shared" si="1"/>
        <v>710</v>
      </c>
      <c r="B711" s="17">
        <v>45673.0</v>
      </c>
      <c r="C711" s="18" t="s">
        <v>87</v>
      </c>
      <c r="D711" s="24" t="s">
        <v>961</v>
      </c>
      <c r="H711" s="33" t="s">
        <v>27</v>
      </c>
      <c r="J711" s="24" t="s">
        <v>415</v>
      </c>
      <c r="K711" s="22"/>
      <c r="L711" s="23"/>
      <c r="M711" s="23"/>
      <c r="N711" s="23"/>
      <c r="O711" s="17">
        <v>45674.0</v>
      </c>
    </row>
    <row r="712">
      <c r="A712" s="16">
        <f t="shared" si="1"/>
        <v>711</v>
      </c>
      <c r="B712" s="17">
        <v>45677.0</v>
      </c>
      <c r="C712" s="18" t="s">
        <v>110</v>
      </c>
      <c r="D712" s="24" t="s">
        <v>962</v>
      </c>
      <c r="H712" s="33" t="s">
        <v>27</v>
      </c>
      <c r="J712" s="24" t="s">
        <v>415</v>
      </c>
      <c r="K712" s="24" t="s">
        <v>963</v>
      </c>
      <c r="L712" s="23"/>
      <c r="M712" s="23"/>
      <c r="N712" s="23"/>
      <c r="O712" s="17">
        <v>45714.0</v>
      </c>
    </row>
    <row r="713">
      <c r="A713" s="16">
        <f t="shared" si="1"/>
        <v>712</v>
      </c>
      <c r="B713" s="17">
        <v>45677.0</v>
      </c>
      <c r="C713" s="18" t="s">
        <v>110</v>
      </c>
      <c r="D713" s="24" t="s">
        <v>964</v>
      </c>
      <c r="H713" s="33" t="s">
        <v>27</v>
      </c>
      <c r="J713" s="24" t="s">
        <v>415</v>
      </c>
      <c r="K713" s="24" t="s">
        <v>965</v>
      </c>
      <c r="L713" s="23"/>
      <c r="M713" s="23"/>
      <c r="N713" s="23"/>
      <c r="O713" s="17">
        <v>45714.0</v>
      </c>
    </row>
    <row r="714">
      <c r="A714" s="16">
        <f t="shared" si="1"/>
        <v>713</v>
      </c>
      <c r="B714" s="17">
        <v>45678.0</v>
      </c>
      <c r="C714" s="18" t="s">
        <v>752</v>
      </c>
      <c r="D714" s="24" t="s">
        <v>966</v>
      </c>
      <c r="H714" s="40" t="s">
        <v>27</v>
      </c>
      <c r="J714" s="24" t="s">
        <v>457</v>
      </c>
      <c r="K714" s="24" t="s">
        <v>967</v>
      </c>
      <c r="L714" s="23"/>
      <c r="M714" s="23"/>
      <c r="N714" s="17">
        <v>45678.0</v>
      </c>
      <c r="O714" s="23"/>
    </row>
    <row r="715">
      <c r="A715" s="16">
        <f t="shared" si="1"/>
        <v>714</v>
      </c>
      <c r="B715" s="17">
        <v>45678.0</v>
      </c>
      <c r="C715" s="18" t="s">
        <v>92</v>
      </c>
      <c r="D715" s="24" t="s">
        <v>968</v>
      </c>
      <c r="H715" s="40" t="s">
        <v>27</v>
      </c>
      <c r="J715" s="24" t="s">
        <v>457</v>
      </c>
      <c r="K715" s="24" t="s">
        <v>956</v>
      </c>
      <c r="L715" s="23"/>
      <c r="M715" s="23"/>
      <c r="N715" s="17">
        <v>45678.0</v>
      </c>
      <c r="O715" s="23"/>
    </row>
    <row r="716">
      <c r="A716" s="16">
        <f t="shared" si="1"/>
        <v>715</v>
      </c>
      <c r="B716" s="17">
        <v>45678.0</v>
      </c>
      <c r="C716" s="18" t="s">
        <v>312</v>
      </c>
      <c r="D716" s="24" t="s">
        <v>969</v>
      </c>
      <c r="H716" s="40" t="s">
        <v>27</v>
      </c>
      <c r="J716" s="24" t="s">
        <v>415</v>
      </c>
      <c r="K716" s="24" t="s">
        <v>960</v>
      </c>
      <c r="L716" s="23"/>
      <c r="M716" s="23"/>
      <c r="N716" s="17">
        <v>45678.0</v>
      </c>
      <c r="O716" s="23"/>
    </row>
    <row r="717">
      <c r="A717" s="16">
        <f t="shared" si="1"/>
        <v>716</v>
      </c>
      <c r="B717" s="17">
        <v>45678.0</v>
      </c>
      <c r="C717" s="18" t="s">
        <v>147</v>
      </c>
      <c r="D717" s="24" t="s">
        <v>970</v>
      </c>
      <c r="H717" s="40" t="s">
        <v>27</v>
      </c>
      <c r="J717" s="24" t="s">
        <v>457</v>
      </c>
      <c r="K717" s="24" t="s">
        <v>960</v>
      </c>
      <c r="L717" s="23"/>
      <c r="M717" s="23"/>
      <c r="N717" s="17">
        <v>45679.0</v>
      </c>
      <c r="O717" s="23"/>
    </row>
    <row r="718">
      <c r="A718" s="16">
        <f t="shared" si="1"/>
        <v>717</v>
      </c>
      <c r="B718" s="17">
        <v>45679.0</v>
      </c>
      <c r="C718" s="18" t="s">
        <v>92</v>
      </c>
      <c r="D718" s="24" t="s">
        <v>971</v>
      </c>
      <c r="H718" s="40" t="s">
        <v>27</v>
      </c>
      <c r="J718" s="24" t="s">
        <v>457</v>
      </c>
      <c r="K718" s="24" t="s">
        <v>960</v>
      </c>
      <c r="L718" s="23"/>
      <c r="M718" s="23"/>
      <c r="N718" s="17">
        <v>45679.0</v>
      </c>
      <c r="O718" s="23"/>
    </row>
    <row r="719">
      <c r="A719" s="16">
        <f t="shared" si="1"/>
        <v>718</v>
      </c>
      <c r="B719" s="17">
        <v>45681.0</v>
      </c>
      <c r="C719" s="18" t="s">
        <v>87</v>
      </c>
      <c r="D719" s="59" t="s">
        <v>972</v>
      </c>
      <c r="H719" s="40" t="s">
        <v>27</v>
      </c>
      <c r="J719" s="24" t="s">
        <v>457</v>
      </c>
      <c r="K719" s="24" t="s">
        <v>960</v>
      </c>
      <c r="L719" s="23"/>
      <c r="M719" s="23"/>
      <c r="N719" s="17">
        <v>45679.0</v>
      </c>
      <c r="O719" s="23"/>
    </row>
    <row r="720">
      <c r="A720" s="16">
        <f t="shared" si="1"/>
        <v>719</v>
      </c>
      <c r="B720" s="17">
        <v>45681.0</v>
      </c>
      <c r="C720" s="18" t="s">
        <v>110</v>
      </c>
      <c r="D720" s="24" t="s">
        <v>973</v>
      </c>
      <c r="H720" s="40" t="s">
        <v>298</v>
      </c>
      <c r="J720" s="24" t="s">
        <v>415</v>
      </c>
      <c r="K720" s="24" t="s">
        <v>974</v>
      </c>
      <c r="L720" s="23"/>
      <c r="M720" s="23"/>
      <c r="N720" s="23"/>
      <c r="O720" s="23"/>
    </row>
    <row r="721">
      <c r="A721" s="16">
        <f t="shared" si="1"/>
        <v>720</v>
      </c>
      <c r="B721" s="17">
        <v>45693.0</v>
      </c>
      <c r="C721" s="18" t="s">
        <v>92</v>
      </c>
      <c r="D721" s="24" t="s">
        <v>975</v>
      </c>
      <c r="H721" s="33" t="s">
        <v>27</v>
      </c>
      <c r="J721" s="24" t="s">
        <v>415</v>
      </c>
      <c r="K721" s="24" t="s">
        <v>963</v>
      </c>
      <c r="L721" s="23"/>
      <c r="M721" s="23"/>
      <c r="N721" s="23"/>
      <c r="O721" s="17">
        <v>45714.0</v>
      </c>
    </row>
    <row r="722">
      <c r="A722" s="16">
        <f t="shared" si="1"/>
        <v>721</v>
      </c>
      <c r="B722" s="17">
        <v>45693.0</v>
      </c>
      <c r="C722" s="18" t="s">
        <v>92</v>
      </c>
      <c r="D722" s="24" t="s">
        <v>976</v>
      </c>
      <c r="H722" s="33" t="s">
        <v>27</v>
      </c>
      <c r="J722" s="24" t="s">
        <v>415</v>
      </c>
      <c r="K722" s="24" t="s">
        <v>977</v>
      </c>
      <c r="L722" s="23"/>
      <c r="M722" s="23"/>
      <c r="N722" s="23"/>
      <c r="O722" s="17">
        <v>45714.0</v>
      </c>
    </row>
    <row r="723">
      <c r="A723" s="16">
        <f t="shared" si="1"/>
        <v>722</v>
      </c>
      <c r="B723" s="17">
        <v>45695.0</v>
      </c>
      <c r="C723" s="18" t="s">
        <v>87</v>
      </c>
      <c r="D723" s="24" t="s">
        <v>978</v>
      </c>
      <c r="H723" s="33" t="s">
        <v>27</v>
      </c>
      <c r="J723" s="24" t="s">
        <v>457</v>
      </c>
      <c r="K723" s="24" t="s">
        <v>979</v>
      </c>
      <c r="L723" s="23"/>
      <c r="M723" s="23"/>
      <c r="N723" s="23"/>
      <c r="O723" s="17">
        <v>45695.0</v>
      </c>
    </row>
    <row r="724">
      <c r="A724" s="16">
        <f t="shared" si="1"/>
        <v>723</v>
      </c>
      <c r="B724" s="17">
        <v>45699.0</v>
      </c>
      <c r="C724" s="18" t="s">
        <v>87</v>
      </c>
      <c r="D724" s="24" t="s">
        <v>980</v>
      </c>
      <c r="H724" s="40" t="s">
        <v>27</v>
      </c>
      <c r="J724" s="24" t="s">
        <v>457</v>
      </c>
      <c r="K724" s="24" t="s">
        <v>981</v>
      </c>
      <c r="L724" s="23"/>
      <c r="M724" s="23"/>
      <c r="N724" s="17">
        <v>45699.0</v>
      </c>
      <c r="O724" s="23"/>
    </row>
    <row r="725">
      <c r="A725" s="16">
        <f t="shared" si="1"/>
        <v>724</v>
      </c>
      <c r="B725" s="17">
        <v>45699.0</v>
      </c>
      <c r="C725" s="18" t="s">
        <v>87</v>
      </c>
      <c r="D725" s="24" t="s">
        <v>982</v>
      </c>
      <c r="H725" s="40" t="s">
        <v>27</v>
      </c>
      <c r="J725" s="24" t="s">
        <v>457</v>
      </c>
      <c r="K725" s="24" t="s">
        <v>983</v>
      </c>
      <c r="L725" s="23"/>
      <c r="M725" s="23"/>
      <c r="N725" s="17">
        <v>45699.0</v>
      </c>
      <c r="O725" s="23"/>
    </row>
    <row r="726">
      <c r="A726" s="16">
        <f t="shared" si="1"/>
        <v>725</v>
      </c>
      <c r="B726" s="17">
        <v>45699.0</v>
      </c>
      <c r="C726" s="18" t="s">
        <v>110</v>
      </c>
      <c r="D726" s="24" t="s">
        <v>984</v>
      </c>
      <c r="H726" s="40" t="s">
        <v>27</v>
      </c>
      <c r="J726" s="24" t="s">
        <v>457</v>
      </c>
      <c r="K726" s="24" t="s">
        <v>985</v>
      </c>
      <c r="L726" s="23"/>
      <c r="M726" s="23"/>
      <c r="N726" s="17">
        <v>45699.0</v>
      </c>
      <c r="O726" s="23"/>
    </row>
    <row r="727">
      <c r="A727" s="16">
        <f t="shared" si="1"/>
        <v>726</v>
      </c>
      <c r="B727" s="17">
        <v>45712.0</v>
      </c>
      <c r="C727" s="18" t="s">
        <v>87</v>
      </c>
      <c r="D727" s="59" t="s">
        <v>986</v>
      </c>
      <c r="H727" s="40" t="s">
        <v>27</v>
      </c>
      <c r="J727" s="24" t="s">
        <v>457</v>
      </c>
      <c r="K727" s="24" t="s">
        <v>987</v>
      </c>
      <c r="L727" s="23"/>
      <c r="M727" s="23"/>
      <c r="N727" s="17">
        <v>45712.0</v>
      </c>
      <c r="O727" s="23"/>
    </row>
    <row r="728">
      <c r="A728" s="16">
        <f t="shared" si="1"/>
        <v>727</v>
      </c>
      <c r="B728" s="17">
        <v>45713.0</v>
      </c>
      <c r="C728" s="18" t="s">
        <v>92</v>
      </c>
      <c r="D728" s="24" t="s">
        <v>988</v>
      </c>
      <c r="H728" s="33" t="s">
        <v>27</v>
      </c>
      <c r="J728" s="24" t="s">
        <v>415</v>
      </c>
      <c r="K728" s="24" t="s">
        <v>963</v>
      </c>
      <c r="L728" s="23"/>
      <c r="M728" s="23"/>
      <c r="N728" s="23"/>
      <c r="O728" s="17">
        <v>45714.0</v>
      </c>
    </row>
    <row r="729">
      <c r="A729" s="16">
        <f t="shared" si="1"/>
        <v>728</v>
      </c>
      <c r="B729" s="17">
        <v>45714.0</v>
      </c>
      <c r="C729" s="18" t="s">
        <v>87</v>
      </c>
      <c r="D729" s="24" t="s">
        <v>989</v>
      </c>
      <c r="H729" s="40" t="s">
        <v>27</v>
      </c>
      <c r="J729" s="24" t="s">
        <v>457</v>
      </c>
      <c r="K729" s="24" t="s">
        <v>990</v>
      </c>
      <c r="L729" s="23"/>
      <c r="M729" s="23"/>
      <c r="N729" s="17">
        <v>45714.0</v>
      </c>
      <c r="O729" s="23"/>
    </row>
    <row r="730">
      <c r="A730" s="16">
        <f t="shared" si="1"/>
        <v>729</v>
      </c>
      <c r="B730" s="17">
        <v>45714.0</v>
      </c>
      <c r="C730" s="18" t="s">
        <v>752</v>
      </c>
      <c r="D730" s="24" t="s">
        <v>991</v>
      </c>
      <c r="H730" s="40" t="s">
        <v>27</v>
      </c>
      <c r="J730" s="24" t="s">
        <v>457</v>
      </c>
      <c r="K730" s="24" t="s">
        <v>992</v>
      </c>
      <c r="L730" s="23"/>
      <c r="M730" s="23"/>
      <c r="N730" s="17">
        <v>45714.0</v>
      </c>
      <c r="O730" s="23"/>
    </row>
    <row r="731">
      <c r="A731" s="16">
        <f t="shared" si="1"/>
        <v>730</v>
      </c>
      <c r="B731" s="17">
        <v>45714.0</v>
      </c>
      <c r="C731" s="18" t="s">
        <v>752</v>
      </c>
      <c r="D731" s="24" t="s">
        <v>993</v>
      </c>
      <c r="H731" s="40" t="s">
        <v>27</v>
      </c>
      <c r="J731" s="24" t="s">
        <v>457</v>
      </c>
      <c r="K731" s="24" t="s">
        <v>992</v>
      </c>
      <c r="L731" s="23"/>
      <c r="M731" s="23"/>
      <c r="N731" s="17">
        <v>45714.0</v>
      </c>
      <c r="O731" s="23"/>
    </row>
    <row r="732">
      <c r="A732" s="16">
        <f t="shared" si="1"/>
        <v>731</v>
      </c>
      <c r="B732" s="17">
        <v>45719.0</v>
      </c>
      <c r="C732" s="18" t="s">
        <v>312</v>
      </c>
      <c r="D732" s="24" t="s">
        <v>994</v>
      </c>
      <c r="H732" s="40" t="s">
        <v>27</v>
      </c>
      <c r="J732" s="24" t="s">
        <v>457</v>
      </c>
      <c r="K732" s="24" t="s">
        <v>992</v>
      </c>
      <c r="L732" s="23"/>
      <c r="M732" s="23"/>
      <c r="N732" s="17">
        <v>45719.0</v>
      </c>
      <c r="O732" s="23"/>
    </row>
    <row r="733">
      <c r="A733" s="16">
        <f t="shared" si="1"/>
        <v>732</v>
      </c>
      <c r="B733" s="17">
        <v>45719.0</v>
      </c>
      <c r="C733" s="18" t="s">
        <v>110</v>
      </c>
      <c r="D733" s="24" t="s">
        <v>995</v>
      </c>
      <c r="H733" s="33" t="s">
        <v>27</v>
      </c>
      <c r="J733" s="22"/>
      <c r="K733" s="22"/>
      <c r="L733" s="23"/>
      <c r="M733" s="23"/>
      <c r="N733" s="23"/>
      <c r="O733" s="17">
        <v>45723.0</v>
      </c>
    </row>
    <row r="734">
      <c r="A734" s="16">
        <f t="shared" si="1"/>
        <v>733</v>
      </c>
      <c r="B734" s="17">
        <v>45720.0</v>
      </c>
      <c r="C734" s="18" t="s">
        <v>490</v>
      </c>
      <c r="D734" s="24" t="s">
        <v>996</v>
      </c>
      <c r="H734" s="40" t="s">
        <v>27</v>
      </c>
      <c r="J734" s="24" t="s">
        <v>457</v>
      </c>
      <c r="K734" s="24" t="s">
        <v>992</v>
      </c>
      <c r="L734" s="23"/>
      <c r="M734" s="23"/>
      <c r="N734" s="17">
        <v>45720.0</v>
      </c>
      <c r="O734" s="23"/>
    </row>
    <row r="735">
      <c r="A735" s="16">
        <f t="shared" si="1"/>
        <v>734</v>
      </c>
      <c r="B735" s="17">
        <v>45727.0</v>
      </c>
      <c r="C735" s="18" t="s">
        <v>110</v>
      </c>
      <c r="D735" s="24" t="s">
        <v>997</v>
      </c>
      <c r="H735" s="40" t="s">
        <v>27</v>
      </c>
      <c r="J735" s="24" t="s">
        <v>457</v>
      </c>
      <c r="K735" s="24" t="s">
        <v>998</v>
      </c>
      <c r="L735" s="23"/>
      <c r="M735" s="23"/>
      <c r="N735" s="17">
        <v>45727.0</v>
      </c>
      <c r="O735" s="23"/>
    </row>
    <row r="736">
      <c r="A736" s="16">
        <f t="shared" si="1"/>
        <v>735</v>
      </c>
      <c r="B736" s="17">
        <v>45727.0</v>
      </c>
      <c r="C736" s="18" t="s">
        <v>110</v>
      </c>
      <c r="D736" s="24" t="s">
        <v>999</v>
      </c>
      <c r="H736" s="33" t="s">
        <v>27</v>
      </c>
      <c r="J736" s="24" t="s">
        <v>419</v>
      </c>
      <c r="K736" s="22"/>
      <c r="L736" s="23"/>
      <c r="M736" s="23"/>
      <c r="N736" s="23"/>
      <c r="O736" s="17">
        <v>45733.0</v>
      </c>
    </row>
    <row r="737">
      <c r="A737" s="16">
        <f t="shared" si="1"/>
        <v>736</v>
      </c>
      <c r="B737" s="17">
        <v>45728.0</v>
      </c>
      <c r="C737" s="18" t="s">
        <v>110</v>
      </c>
      <c r="D737" s="24" t="s">
        <v>1000</v>
      </c>
      <c r="H737" s="40" t="s">
        <v>27</v>
      </c>
      <c r="J737" s="24" t="s">
        <v>457</v>
      </c>
      <c r="K737" s="24" t="s">
        <v>992</v>
      </c>
      <c r="L737" s="23"/>
      <c r="M737" s="23"/>
      <c r="N737" s="17">
        <v>45728.0</v>
      </c>
      <c r="O737" s="23"/>
    </row>
    <row r="738">
      <c r="A738" s="16">
        <f t="shared" si="1"/>
        <v>737</v>
      </c>
      <c r="B738" s="17">
        <v>45728.0</v>
      </c>
      <c r="C738" s="18" t="s">
        <v>752</v>
      </c>
      <c r="D738" s="24" t="s">
        <v>1001</v>
      </c>
      <c r="H738" s="40" t="s">
        <v>27</v>
      </c>
      <c r="J738" s="24" t="s">
        <v>415</v>
      </c>
      <c r="K738" s="24" t="s">
        <v>992</v>
      </c>
      <c r="L738" s="23"/>
      <c r="M738" s="23"/>
      <c r="N738" s="17">
        <v>45728.0</v>
      </c>
      <c r="O738" s="23"/>
    </row>
    <row r="739">
      <c r="A739" s="16">
        <f t="shared" si="1"/>
        <v>738</v>
      </c>
      <c r="B739" s="17">
        <v>45730.0</v>
      </c>
      <c r="C739" s="18" t="s">
        <v>147</v>
      </c>
      <c r="D739" s="24" t="s">
        <v>1002</v>
      </c>
      <c r="H739" s="40" t="s">
        <v>298</v>
      </c>
      <c r="J739" s="22"/>
      <c r="K739" s="22"/>
      <c r="L739" s="23"/>
      <c r="M739" s="23"/>
      <c r="N739" s="23"/>
      <c r="O739" s="23"/>
    </row>
    <row r="740">
      <c r="A740" s="16">
        <f t="shared" si="1"/>
        <v>739</v>
      </c>
      <c r="B740" s="17">
        <v>45730.0</v>
      </c>
      <c r="C740" s="18" t="s">
        <v>110</v>
      </c>
      <c r="D740" s="24" t="s">
        <v>1003</v>
      </c>
      <c r="H740" s="33" t="s">
        <v>27</v>
      </c>
      <c r="J740" s="24" t="s">
        <v>419</v>
      </c>
      <c r="K740" s="22"/>
      <c r="L740" s="23"/>
      <c r="M740" s="23"/>
      <c r="N740" s="23"/>
      <c r="O740" s="17">
        <v>45733.0</v>
      </c>
    </row>
    <row r="741">
      <c r="A741" s="16">
        <f t="shared" si="1"/>
        <v>740</v>
      </c>
      <c r="B741" s="17">
        <v>45734.0</v>
      </c>
      <c r="C741" s="18" t="s">
        <v>110</v>
      </c>
      <c r="D741" s="24" t="s">
        <v>1004</v>
      </c>
      <c r="H741" s="33" t="s">
        <v>27</v>
      </c>
      <c r="J741" s="24" t="s">
        <v>419</v>
      </c>
      <c r="K741" s="24" t="s">
        <v>667</v>
      </c>
      <c r="L741" s="23"/>
      <c r="M741" s="23"/>
      <c r="N741" s="23"/>
      <c r="O741" s="17">
        <v>45736.0</v>
      </c>
    </row>
    <row r="742">
      <c r="A742" s="16">
        <f t="shared" si="1"/>
        <v>741</v>
      </c>
      <c r="B742" s="17">
        <v>45735.0</v>
      </c>
      <c r="C742" s="18" t="s">
        <v>110</v>
      </c>
      <c r="D742" s="24" t="s">
        <v>1005</v>
      </c>
      <c r="H742" s="33" t="s">
        <v>27</v>
      </c>
      <c r="J742" s="24" t="s">
        <v>419</v>
      </c>
      <c r="K742" s="22"/>
      <c r="L742" s="23"/>
      <c r="M742" s="23"/>
      <c r="N742" s="23"/>
      <c r="O742" s="17">
        <v>45740.0</v>
      </c>
    </row>
    <row r="743">
      <c r="A743" s="16">
        <f t="shared" si="1"/>
        <v>742</v>
      </c>
      <c r="B743" s="17">
        <v>45737.0</v>
      </c>
      <c r="C743" s="18" t="s">
        <v>87</v>
      </c>
      <c r="D743" s="24" t="s">
        <v>1006</v>
      </c>
      <c r="H743" s="33" t="s">
        <v>27</v>
      </c>
      <c r="J743" s="24" t="s">
        <v>419</v>
      </c>
      <c r="K743" s="22"/>
      <c r="L743" s="23"/>
      <c r="M743" s="23"/>
      <c r="N743" s="23"/>
      <c r="O743" s="17">
        <v>45740.0</v>
      </c>
    </row>
    <row r="744">
      <c r="A744" s="16">
        <f t="shared" si="1"/>
        <v>743</v>
      </c>
      <c r="B744" s="17">
        <v>45740.0</v>
      </c>
      <c r="C744" s="18" t="s">
        <v>110</v>
      </c>
      <c r="D744" s="24" t="s">
        <v>1007</v>
      </c>
      <c r="H744" s="40" t="s">
        <v>27</v>
      </c>
      <c r="J744" s="24" t="s">
        <v>457</v>
      </c>
      <c r="K744" s="24" t="s">
        <v>992</v>
      </c>
      <c r="L744" s="23"/>
      <c r="M744" s="23"/>
      <c r="N744" s="17">
        <v>45740.0</v>
      </c>
      <c r="O744" s="23"/>
    </row>
    <row r="745">
      <c r="A745" s="16">
        <f t="shared" si="1"/>
        <v>744</v>
      </c>
      <c r="B745" s="48">
        <v>45741.0</v>
      </c>
      <c r="C745" s="18" t="s">
        <v>110</v>
      </c>
      <c r="D745" s="30" t="s">
        <v>1008</v>
      </c>
      <c r="E745" s="32"/>
      <c r="F745" s="32"/>
      <c r="G745" s="32"/>
      <c r="H745" s="67" t="s">
        <v>27</v>
      </c>
      <c r="I745" s="32"/>
      <c r="J745" s="35" t="s">
        <v>457</v>
      </c>
      <c r="K745" s="35" t="s">
        <v>777</v>
      </c>
      <c r="L745" s="68"/>
      <c r="M745" s="68"/>
      <c r="N745" s="48">
        <v>45741.0</v>
      </c>
      <c r="O745" s="23"/>
    </row>
    <row r="746">
      <c r="A746" s="16">
        <f t="shared" si="1"/>
        <v>745</v>
      </c>
      <c r="B746" s="49">
        <v>45747.0</v>
      </c>
      <c r="C746" s="18" t="s">
        <v>87</v>
      </c>
      <c r="D746" s="24" t="s">
        <v>1009</v>
      </c>
      <c r="H746" s="40" t="s">
        <v>71</v>
      </c>
      <c r="J746" s="24" t="s">
        <v>419</v>
      </c>
      <c r="K746" s="22"/>
      <c r="L746" s="23"/>
      <c r="M746" s="23"/>
      <c r="N746" s="23"/>
      <c r="O746" s="17">
        <v>45765.0</v>
      </c>
    </row>
    <row r="747">
      <c r="A747" s="16">
        <f t="shared" si="1"/>
        <v>746</v>
      </c>
      <c r="B747" s="49">
        <v>45747.0</v>
      </c>
      <c r="C747" s="18" t="s">
        <v>87</v>
      </c>
      <c r="D747" s="24" t="s">
        <v>1010</v>
      </c>
      <c r="H747" s="40" t="s">
        <v>27</v>
      </c>
      <c r="J747" s="35" t="s">
        <v>457</v>
      </c>
      <c r="K747" s="24" t="s">
        <v>1011</v>
      </c>
      <c r="L747" s="23"/>
      <c r="M747" s="23"/>
      <c r="N747" s="49">
        <v>45747.0</v>
      </c>
      <c r="O747" s="23"/>
    </row>
    <row r="748">
      <c r="A748" s="16">
        <f t="shared" si="1"/>
        <v>747</v>
      </c>
      <c r="B748" s="49">
        <v>45747.0</v>
      </c>
      <c r="C748" s="18" t="s">
        <v>752</v>
      </c>
      <c r="D748" s="24" t="s">
        <v>1012</v>
      </c>
      <c r="H748" s="40" t="s">
        <v>27</v>
      </c>
      <c r="J748" s="35" t="s">
        <v>457</v>
      </c>
      <c r="K748" s="24" t="s">
        <v>960</v>
      </c>
      <c r="L748" s="23"/>
      <c r="M748" s="23"/>
      <c r="N748" s="49">
        <v>45747.0</v>
      </c>
      <c r="O748" s="23"/>
    </row>
    <row r="749">
      <c r="A749" s="16">
        <f t="shared" si="1"/>
        <v>748</v>
      </c>
      <c r="B749" s="49">
        <v>45756.0</v>
      </c>
      <c r="C749" s="18" t="s">
        <v>752</v>
      </c>
      <c r="D749" s="24" t="s">
        <v>1013</v>
      </c>
      <c r="H749" s="40" t="s">
        <v>27</v>
      </c>
      <c r="J749" s="35" t="s">
        <v>457</v>
      </c>
      <c r="K749" s="24" t="s">
        <v>960</v>
      </c>
      <c r="L749" s="23"/>
      <c r="M749" s="23"/>
      <c r="N749" s="49">
        <v>45756.0</v>
      </c>
      <c r="O749" s="23"/>
    </row>
    <row r="750">
      <c r="A750" s="16">
        <f t="shared" si="1"/>
        <v>749</v>
      </c>
      <c r="B750" s="49">
        <v>45763.0</v>
      </c>
      <c r="C750" s="18" t="s">
        <v>453</v>
      </c>
      <c r="D750" s="24" t="s">
        <v>1014</v>
      </c>
      <c r="H750" s="40" t="s">
        <v>27</v>
      </c>
      <c r="J750" s="35" t="s">
        <v>457</v>
      </c>
      <c r="K750" s="24" t="s">
        <v>960</v>
      </c>
      <c r="L750" s="23"/>
      <c r="M750" s="23"/>
      <c r="N750" s="49">
        <v>45763.0</v>
      </c>
      <c r="O750" s="23"/>
    </row>
    <row r="751">
      <c r="A751" s="16">
        <f t="shared" si="1"/>
        <v>750</v>
      </c>
      <c r="B751" s="49">
        <v>45763.0</v>
      </c>
      <c r="C751" s="18" t="s">
        <v>87</v>
      </c>
      <c r="D751" s="59" t="s">
        <v>1015</v>
      </c>
      <c r="H751" s="40" t="s">
        <v>27</v>
      </c>
      <c r="J751" s="35" t="s">
        <v>457</v>
      </c>
      <c r="K751" s="24" t="s">
        <v>1016</v>
      </c>
      <c r="L751" s="23"/>
      <c r="M751" s="23"/>
      <c r="N751" s="49">
        <v>45763.0</v>
      </c>
      <c r="O751" s="23"/>
    </row>
    <row r="752">
      <c r="A752" s="16">
        <f t="shared" si="1"/>
        <v>751</v>
      </c>
      <c r="B752" s="49">
        <v>45768.0</v>
      </c>
      <c r="C752" s="18" t="s">
        <v>752</v>
      </c>
      <c r="D752" s="24" t="s">
        <v>1017</v>
      </c>
      <c r="H752" s="40" t="s">
        <v>27</v>
      </c>
      <c r="J752" s="35" t="s">
        <v>457</v>
      </c>
      <c r="K752" s="24" t="s">
        <v>960</v>
      </c>
      <c r="L752" s="23"/>
      <c r="M752" s="23"/>
      <c r="N752" s="49">
        <v>45768.0</v>
      </c>
      <c r="O752" s="23"/>
    </row>
    <row r="753">
      <c r="A753" s="16">
        <f t="shared" si="1"/>
        <v>752</v>
      </c>
      <c r="B753" s="49">
        <v>45768.0</v>
      </c>
      <c r="C753" s="18" t="s">
        <v>752</v>
      </c>
      <c r="D753" s="24" t="s">
        <v>1018</v>
      </c>
      <c r="H753" s="40" t="s">
        <v>27</v>
      </c>
      <c r="J753" s="35" t="s">
        <v>457</v>
      </c>
      <c r="K753" s="24" t="s">
        <v>960</v>
      </c>
      <c r="L753" s="23"/>
      <c r="M753" s="23"/>
      <c r="N753" s="49">
        <v>45768.0</v>
      </c>
      <c r="O753" s="23"/>
    </row>
    <row r="754">
      <c r="A754" s="16">
        <f t="shared" si="1"/>
        <v>753</v>
      </c>
      <c r="B754" s="49">
        <v>45769.0</v>
      </c>
      <c r="C754" s="18" t="s">
        <v>752</v>
      </c>
      <c r="D754" s="24" t="s">
        <v>1019</v>
      </c>
      <c r="H754" s="40" t="s">
        <v>27</v>
      </c>
      <c r="J754" s="24" t="s">
        <v>415</v>
      </c>
      <c r="K754" s="24" t="s">
        <v>960</v>
      </c>
      <c r="L754" s="23"/>
      <c r="M754" s="23"/>
      <c r="N754" s="49">
        <v>45769.0</v>
      </c>
      <c r="O754" s="23"/>
    </row>
    <row r="755">
      <c r="A755" s="16">
        <f t="shared" si="1"/>
        <v>754</v>
      </c>
      <c r="B755" s="49">
        <v>45769.0</v>
      </c>
      <c r="C755" s="18" t="s">
        <v>110</v>
      </c>
      <c r="D755" s="24" t="s">
        <v>1020</v>
      </c>
      <c r="H755" s="40" t="s">
        <v>27</v>
      </c>
      <c r="J755" s="24" t="s">
        <v>419</v>
      </c>
      <c r="K755" s="22"/>
      <c r="L755" s="23"/>
      <c r="M755" s="23"/>
      <c r="N755" s="23"/>
      <c r="O755" s="49">
        <v>45770.0</v>
      </c>
    </row>
    <row r="756">
      <c r="A756" s="16">
        <f t="shared" si="1"/>
        <v>755</v>
      </c>
      <c r="B756" s="49">
        <v>45771.0</v>
      </c>
      <c r="C756" s="18" t="s">
        <v>752</v>
      </c>
      <c r="D756" s="24" t="s">
        <v>1021</v>
      </c>
      <c r="H756" s="40" t="s">
        <v>27</v>
      </c>
      <c r="J756" s="35" t="s">
        <v>457</v>
      </c>
      <c r="K756" s="24" t="s">
        <v>960</v>
      </c>
      <c r="L756" s="23"/>
      <c r="M756" s="23"/>
      <c r="N756" s="49">
        <v>45771.0</v>
      </c>
      <c r="O756" s="23"/>
    </row>
    <row r="757">
      <c r="A757" s="16">
        <f t="shared" si="1"/>
        <v>756</v>
      </c>
      <c r="B757" s="49">
        <v>45782.0</v>
      </c>
      <c r="C757" s="18" t="s">
        <v>752</v>
      </c>
      <c r="D757" s="24" t="s">
        <v>1022</v>
      </c>
      <c r="H757" s="40" t="s">
        <v>27</v>
      </c>
      <c r="J757" s="35" t="s">
        <v>457</v>
      </c>
      <c r="K757" s="24" t="s">
        <v>960</v>
      </c>
      <c r="L757" s="23"/>
      <c r="M757" s="23"/>
      <c r="N757" s="49">
        <v>45782.0</v>
      </c>
      <c r="O757" s="23"/>
    </row>
    <row r="758">
      <c r="A758" s="16">
        <f t="shared" si="1"/>
        <v>757</v>
      </c>
      <c r="B758" s="49">
        <v>45789.0</v>
      </c>
      <c r="C758" s="18" t="s">
        <v>490</v>
      </c>
      <c r="D758" s="24" t="s">
        <v>1023</v>
      </c>
      <c r="H758" s="67" t="s">
        <v>27</v>
      </c>
      <c r="I758" s="32"/>
      <c r="J758" s="35" t="s">
        <v>415</v>
      </c>
      <c r="K758" s="29" t="s">
        <v>1024</v>
      </c>
      <c r="L758" s="23"/>
      <c r="M758" s="23"/>
      <c r="N758" s="17">
        <v>45789.0</v>
      </c>
      <c r="O758" s="17"/>
    </row>
    <row r="759">
      <c r="A759" s="16">
        <f t="shared" si="1"/>
        <v>758</v>
      </c>
      <c r="B759" s="49">
        <v>45789.0</v>
      </c>
      <c r="C759" s="18" t="s">
        <v>457</v>
      </c>
      <c r="D759" s="24" t="s">
        <v>1025</v>
      </c>
      <c r="H759" s="69" t="s">
        <v>71</v>
      </c>
      <c r="J759" s="24" t="s">
        <v>419</v>
      </c>
      <c r="K759" s="22"/>
      <c r="L759" s="23"/>
      <c r="M759" s="23"/>
      <c r="N759" s="23"/>
      <c r="O759" s="17">
        <v>45791.0</v>
      </c>
    </row>
    <row r="760">
      <c r="A760" s="16">
        <f t="shared" si="1"/>
        <v>759</v>
      </c>
      <c r="B760" s="49">
        <v>45796.0</v>
      </c>
      <c r="C760" s="18" t="s">
        <v>110</v>
      </c>
      <c r="D760" s="24" t="s">
        <v>1026</v>
      </c>
      <c r="H760" s="40" t="s">
        <v>27</v>
      </c>
      <c r="J760" s="35" t="s">
        <v>457</v>
      </c>
      <c r="K760" s="24" t="s">
        <v>960</v>
      </c>
      <c r="L760" s="23"/>
      <c r="M760" s="23"/>
      <c r="N760" s="17">
        <v>45796.0</v>
      </c>
      <c r="O760" s="23"/>
    </row>
    <row r="761">
      <c r="A761" s="16">
        <f t="shared" si="1"/>
        <v>760</v>
      </c>
      <c r="B761" s="49">
        <v>45803.0</v>
      </c>
      <c r="C761" s="18" t="s">
        <v>752</v>
      </c>
      <c r="D761" s="24" t="s">
        <v>1027</v>
      </c>
      <c r="H761" s="40" t="s">
        <v>27</v>
      </c>
      <c r="J761" s="35" t="s">
        <v>457</v>
      </c>
      <c r="K761" s="24" t="s">
        <v>960</v>
      </c>
      <c r="L761" s="23"/>
      <c r="M761" s="23"/>
      <c r="N761" s="17">
        <v>45803.0</v>
      </c>
      <c r="O761" s="23"/>
    </row>
    <row r="762">
      <c r="A762" s="16">
        <f t="shared" si="1"/>
        <v>761</v>
      </c>
      <c r="B762" s="49">
        <v>45805.0</v>
      </c>
      <c r="C762" s="18" t="s">
        <v>92</v>
      </c>
      <c r="D762" s="18" t="s">
        <v>1028</v>
      </c>
      <c r="H762" s="40" t="s">
        <v>27</v>
      </c>
      <c r="J762" s="35" t="s">
        <v>457</v>
      </c>
      <c r="K762" s="24" t="s">
        <v>960</v>
      </c>
      <c r="L762" s="23"/>
      <c r="M762" s="23"/>
      <c r="N762" s="17">
        <v>45805.0</v>
      </c>
      <c r="O762" s="23"/>
    </row>
    <row r="763">
      <c r="A763" s="16">
        <f t="shared" si="1"/>
        <v>762</v>
      </c>
      <c r="B763" s="49">
        <v>45805.0</v>
      </c>
      <c r="C763" s="18" t="s">
        <v>752</v>
      </c>
      <c r="D763" s="24" t="s">
        <v>1029</v>
      </c>
      <c r="H763" s="40" t="s">
        <v>27</v>
      </c>
      <c r="J763" s="35" t="s">
        <v>457</v>
      </c>
      <c r="K763" s="24" t="s">
        <v>960</v>
      </c>
      <c r="L763" s="23"/>
      <c r="M763" s="23"/>
      <c r="N763" s="49">
        <v>45805.0</v>
      </c>
      <c r="O763" s="23"/>
    </row>
    <row r="764">
      <c r="A764" s="16">
        <f t="shared" si="1"/>
        <v>763</v>
      </c>
      <c r="B764" s="49">
        <v>45805.0</v>
      </c>
      <c r="C764" s="18" t="s">
        <v>87</v>
      </c>
      <c r="D764" s="24" t="s">
        <v>1030</v>
      </c>
      <c r="H764" s="40" t="s">
        <v>27</v>
      </c>
      <c r="J764" s="35" t="s">
        <v>457</v>
      </c>
      <c r="K764" s="24" t="s">
        <v>1031</v>
      </c>
      <c r="L764" s="23"/>
      <c r="M764" s="23"/>
      <c r="N764" s="49">
        <v>45805.0</v>
      </c>
      <c r="O764" s="23"/>
    </row>
    <row r="765">
      <c r="A765" s="16">
        <f t="shared" si="1"/>
        <v>764</v>
      </c>
      <c r="B765" s="49">
        <v>45806.0</v>
      </c>
      <c r="C765" s="18" t="s">
        <v>147</v>
      </c>
      <c r="D765" s="24" t="s">
        <v>1032</v>
      </c>
      <c r="H765" s="40" t="s">
        <v>27</v>
      </c>
      <c r="J765" s="24" t="s">
        <v>419</v>
      </c>
      <c r="K765" s="22"/>
      <c r="L765" s="23"/>
      <c r="M765" s="23"/>
      <c r="N765" s="23"/>
      <c r="O765" s="17">
        <v>45813.0</v>
      </c>
    </row>
    <row r="766">
      <c r="A766" s="16">
        <f t="shared" si="1"/>
        <v>765</v>
      </c>
      <c r="B766" s="17">
        <v>45810.0</v>
      </c>
      <c r="C766" s="18" t="s">
        <v>110</v>
      </c>
      <c r="D766" s="24" t="s">
        <v>1033</v>
      </c>
      <c r="H766" s="40" t="s">
        <v>27</v>
      </c>
      <c r="J766" s="24" t="s">
        <v>419</v>
      </c>
      <c r="K766" s="24" t="s">
        <v>1034</v>
      </c>
      <c r="L766" s="23"/>
      <c r="M766" s="23"/>
      <c r="N766" s="23"/>
      <c r="O766" s="17">
        <v>45813.0</v>
      </c>
    </row>
    <row r="767">
      <c r="A767" s="16">
        <f t="shared" si="1"/>
        <v>766</v>
      </c>
      <c r="B767" s="49">
        <v>45811.0</v>
      </c>
      <c r="C767" s="18" t="s">
        <v>752</v>
      </c>
      <c r="D767" s="24" t="s">
        <v>1035</v>
      </c>
      <c r="H767" s="40" t="s">
        <v>27</v>
      </c>
      <c r="J767" s="35" t="s">
        <v>457</v>
      </c>
      <c r="K767" s="24" t="s">
        <v>960</v>
      </c>
      <c r="L767" s="23"/>
      <c r="M767" s="23"/>
      <c r="N767" s="49">
        <v>45811.0</v>
      </c>
      <c r="O767" s="23"/>
    </row>
    <row r="768">
      <c r="A768" s="16">
        <f t="shared" si="1"/>
        <v>767</v>
      </c>
      <c r="B768" s="49">
        <v>45813.0</v>
      </c>
      <c r="C768" s="18" t="s">
        <v>453</v>
      </c>
      <c r="D768" s="24" t="s">
        <v>1036</v>
      </c>
      <c r="H768" s="33" t="s">
        <v>71</v>
      </c>
      <c r="J768" s="24" t="s">
        <v>419</v>
      </c>
      <c r="K768" s="22"/>
      <c r="L768" s="23"/>
      <c r="M768" s="23"/>
      <c r="N768" s="23"/>
      <c r="O768" s="17">
        <v>45840.0</v>
      </c>
    </row>
    <row r="769">
      <c r="A769" s="16">
        <f t="shared" si="1"/>
        <v>768</v>
      </c>
      <c r="B769" s="49">
        <v>45814.0</v>
      </c>
      <c r="C769" s="18" t="s">
        <v>147</v>
      </c>
      <c r="D769" s="24" t="s">
        <v>1037</v>
      </c>
      <c r="H769" s="33" t="s">
        <v>27</v>
      </c>
      <c r="J769" s="35" t="s">
        <v>457</v>
      </c>
      <c r="K769" s="22"/>
      <c r="L769" s="23"/>
      <c r="M769" s="23"/>
      <c r="N769" s="23"/>
      <c r="O769" s="17">
        <v>45840.0</v>
      </c>
    </row>
    <row r="770">
      <c r="A770" s="16">
        <f t="shared" si="1"/>
        <v>769</v>
      </c>
      <c r="B770" s="49">
        <v>45817.0</v>
      </c>
      <c r="C770" s="18" t="s">
        <v>92</v>
      </c>
      <c r="D770" s="24" t="s">
        <v>1038</v>
      </c>
      <c r="H770" s="40" t="s">
        <v>27</v>
      </c>
      <c r="J770" s="35" t="s">
        <v>457</v>
      </c>
      <c r="K770" s="24" t="s">
        <v>960</v>
      </c>
      <c r="L770" s="23"/>
      <c r="M770" s="23"/>
      <c r="N770" s="49">
        <v>45818.0</v>
      </c>
      <c r="O770" s="23"/>
    </row>
    <row r="771">
      <c r="A771" s="16">
        <f t="shared" si="1"/>
        <v>770</v>
      </c>
      <c r="B771" s="49">
        <v>45818.0</v>
      </c>
      <c r="C771" s="18" t="s">
        <v>752</v>
      </c>
      <c r="D771" s="24" t="s">
        <v>1039</v>
      </c>
      <c r="H771" s="40" t="s">
        <v>27</v>
      </c>
      <c r="J771" s="35" t="s">
        <v>457</v>
      </c>
      <c r="K771" s="24" t="s">
        <v>960</v>
      </c>
      <c r="L771" s="23"/>
      <c r="M771" s="23"/>
      <c r="N771" s="49">
        <v>45818.0</v>
      </c>
      <c r="O771" s="23"/>
    </row>
    <row r="772">
      <c r="A772" s="16">
        <f t="shared" si="1"/>
        <v>771</v>
      </c>
      <c r="B772" s="17">
        <v>45826.0</v>
      </c>
      <c r="C772" s="18" t="s">
        <v>92</v>
      </c>
      <c r="D772" s="24" t="s">
        <v>1040</v>
      </c>
      <c r="H772" s="40" t="s">
        <v>27</v>
      </c>
      <c r="J772" s="24" t="s">
        <v>415</v>
      </c>
      <c r="K772" s="24" t="s">
        <v>1024</v>
      </c>
      <c r="L772" s="23"/>
      <c r="M772" s="23"/>
      <c r="N772" s="17">
        <v>45826.0</v>
      </c>
      <c r="O772" s="23"/>
    </row>
    <row r="773">
      <c r="A773" s="16">
        <f t="shared" si="1"/>
        <v>772</v>
      </c>
      <c r="B773" s="17">
        <v>45828.0</v>
      </c>
      <c r="C773" s="18" t="s">
        <v>87</v>
      </c>
      <c r="D773" s="24" t="s">
        <v>1041</v>
      </c>
      <c r="H773" s="40" t="s">
        <v>27</v>
      </c>
      <c r="J773" s="24" t="s">
        <v>415</v>
      </c>
      <c r="K773" s="24" t="s">
        <v>1024</v>
      </c>
      <c r="L773" s="23"/>
      <c r="M773" s="23"/>
      <c r="N773" s="17">
        <v>45828.0</v>
      </c>
      <c r="O773" s="23"/>
    </row>
    <row r="774">
      <c r="A774" s="16">
        <f t="shared" si="1"/>
        <v>773</v>
      </c>
      <c r="B774" s="17">
        <v>45828.0</v>
      </c>
      <c r="C774" s="18" t="s">
        <v>110</v>
      </c>
      <c r="D774" s="59" t="s">
        <v>1042</v>
      </c>
      <c r="H774" s="40" t="s">
        <v>27</v>
      </c>
      <c r="J774" s="24" t="s">
        <v>415</v>
      </c>
      <c r="K774" s="24" t="s">
        <v>1024</v>
      </c>
      <c r="L774" s="23"/>
      <c r="M774" s="23"/>
      <c r="N774" s="17">
        <v>45828.0</v>
      </c>
      <c r="O774" s="23"/>
    </row>
    <row r="775">
      <c r="A775" s="16">
        <f t="shared" si="1"/>
        <v>774</v>
      </c>
      <c r="B775" s="49">
        <v>45831.0</v>
      </c>
      <c r="C775" s="18" t="s">
        <v>92</v>
      </c>
      <c r="D775" s="24" t="s">
        <v>1043</v>
      </c>
      <c r="H775" s="40" t="s">
        <v>27</v>
      </c>
      <c r="J775" s="35" t="s">
        <v>457</v>
      </c>
      <c r="K775" s="24" t="s">
        <v>1044</v>
      </c>
      <c r="L775" s="23"/>
      <c r="M775" s="23"/>
      <c r="N775" s="49">
        <v>45831.0</v>
      </c>
      <c r="O775" s="23"/>
    </row>
    <row r="776">
      <c r="A776" s="16">
        <f t="shared" si="1"/>
        <v>775</v>
      </c>
      <c r="B776" s="17">
        <v>45838.0</v>
      </c>
      <c r="C776" s="18" t="s">
        <v>147</v>
      </c>
      <c r="D776" s="24" t="s">
        <v>1045</v>
      </c>
      <c r="H776" s="40" t="s">
        <v>27</v>
      </c>
      <c r="J776" s="35" t="s">
        <v>457</v>
      </c>
      <c r="K776" s="24" t="s">
        <v>1046</v>
      </c>
      <c r="L776" s="23"/>
      <c r="M776" s="23"/>
      <c r="N776" s="17">
        <v>45838.0</v>
      </c>
      <c r="O776" s="23"/>
    </row>
    <row r="777">
      <c r="A777" s="16">
        <f t="shared" si="1"/>
        <v>776</v>
      </c>
      <c r="B777" s="17">
        <v>45838.0</v>
      </c>
      <c r="C777" s="18" t="s">
        <v>110</v>
      </c>
      <c r="D777" s="24" t="s">
        <v>1047</v>
      </c>
      <c r="H777" s="40" t="s">
        <v>27</v>
      </c>
      <c r="J777" s="35" t="s">
        <v>457</v>
      </c>
      <c r="K777" s="24" t="s">
        <v>1048</v>
      </c>
      <c r="L777" s="23"/>
      <c r="M777" s="23"/>
      <c r="N777" s="17">
        <v>45838.0</v>
      </c>
      <c r="O777" s="23"/>
    </row>
    <row r="778">
      <c r="A778" s="16">
        <f t="shared" si="1"/>
        <v>777</v>
      </c>
      <c r="B778" s="17">
        <v>45839.0</v>
      </c>
      <c r="C778" s="18" t="s">
        <v>87</v>
      </c>
      <c r="D778" s="24" t="s">
        <v>1049</v>
      </c>
      <c r="H778" s="33" t="s">
        <v>71</v>
      </c>
      <c r="J778" s="24" t="s">
        <v>419</v>
      </c>
      <c r="K778" s="22"/>
      <c r="L778" s="23"/>
      <c r="M778" s="23"/>
      <c r="N778" s="23"/>
      <c r="O778" s="17">
        <v>45840.0</v>
      </c>
    </row>
    <row r="779">
      <c r="A779" s="16">
        <f t="shared" si="1"/>
        <v>778</v>
      </c>
      <c r="B779" s="17">
        <v>45839.0</v>
      </c>
      <c r="C779" s="18" t="s">
        <v>752</v>
      </c>
      <c r="D779" s="24" t="s">
        <v>1050</v>
      </c>
      <c r="H779" s="40" t="s">
        <v>27</v>
      </c>
      <c r="J779" s="35" t="s">
        <v>457</v>
      </c>
      <c r="K779" s="24" t="s">
        <v>1048</v>
      </c>
      <c r="L779" s="23"/>
      <c r="M779" s="23"/>
      <c r="N779" s="17">
        <v>45839.0</v>
      </c>
      <c r="O779" s="23"/>
    </row>
    <row r="780">
      <c r="A780" s="16">
        <f t="shared" si="1"/>
        <v>779</v>
      </c>
      <c r="B780" s="17">
        <v>45840.0</v>
      </c>
      <c r="C780" s="18" t="s">
        <v>92</v>
      </c>
      <c r="D780" s="24" t="s">
        <v>1051</v>
      </c>
      <c r="H780" s="40" t="s">
        <v>27</v>
      </c>
      <c r="J780" s="35" t="s">
        <v>457</v>
      </c>
      <c r="K780" s="24" t="s">
        <v>1048</v>
      </c>
      <c r="L780" s="23"/>
      <c r="M780" s="23"/>
      <c r="N780" s="17">
        <v>45840.0</v>
      </c>
      <c r="O780" s="23"/>
    </row>
    <row r="781">
      <c r="A781" s="16">
        <f t="shared" si="1"/>
        <v>780</v>
      </c>
      <c r="B781" s="17">
        <v>45841.0</v>
      </c>
      <c r="C781" s="18" t="s">
        <v>752</v>
      </c>
      <c r="D781" s="24" t="s">
        <v>1052</v>
      </c>
      <c r="H781" s="40" t="s">
        <v>27</v>
      </c>
      <c r="J781" s="24" t="s">
        <v>415</v>
      </c>
      <c r="K781" s="24" t="s">
        <v>1048</v>
      </c>
      <c r="L781" s="23"/>
      <c r="M781" s="23"/>
      <c r="N781" s="17">
        <v>45841.0</v>
      </c>
      <c r="O781" s="23"/>
    </row>
    <row r="782">
      <c r="A782" s="16">
        <f t="shared" si="1"/>
        <v>781</v>
      </c>
      <c r="B782" s="17">
        <v>45841.0</v>
      </c>
      <c r="C782" s="18" t="s">
        <v>87</v>
      </c>
      <c r="D782" s="24" t="s">
        <v>1053</v>
      </c>
      <c r="H782" s="33" t="s">
        <v>71</v>
      </c>
      <c r="J782" s="24" t="s">
        <v>419</v>
      </c>
      <c r="K782" s="24" t="s">
        <v>1054</v>
      </c>
      <c r="L782" s="23"/>
      <c r="M782" s="23"/>
      <c r="N782" s="23"/>
      <c r="O782" s="17">
        <v>45862.0</v>
      </c>
    </row>
    <row r="783">
      <c r="A783" s="16">
        <f t="shared" si="1"/>
        <v>782</v>
      </c>
      <c r="B783" s="17">
        <v>45841.0</v>
      </c>
      <c r="C783" s="18" t="s">
        <v>110</v>
      </c>
      <c r="D783" s="24" t="s">
        <v>1055</v>
      </c>
      <c r="H783" s="40" t="s">
        <v>27</v>
      </c>
      <c r="J783" s="35" t="s">
        <v>457</v>
      </c>
      <c r="K783" s="24" t="s">
        <v>960</v>
      </c>
      <c r="L783" s="23"/>
      <c r="M783" s="23"/>
      <c r="N783" s="17">
        <v>45842.0</v>
      </c>
      <c r="O783" s="23"/>
    </row>
    <row r="784">
      <c r="A784" s="16">
        <f t="shared" si="1"/>
        <v>783</v>
      </c>
      <c r="B784" s="17">
        <v>45842.0</v>
      </c>
      <c r="C784" s="18" t="s">
        <v>147</v>
      </c>
      <c r="D784" s="24" t="s">
        <v>1056</v>
      </c>
      <c r="H784" s="40" t="s">
        <v>27</v>
      </c>
      <c r="J784" s="35" t="s">
        <v>457</v>
      </c>
      <c r="K784" s="24" t="s">
        <v>960</v>
      </c>
      <c r="L784" s="23"/>
      <c r="M784" s="23"/>
      <c r="N784" s="17">
        <v>45842.0</v>
      </c>
      <c r="O784" s="23"/>
    </row>
    <row r="785">
      <c r="A785" s="16">
        <f t="shared" si="1"/>
        <v>784</v>
      </c>
      <c r="B785" s="17">
        <v>45846.0</v>
      </c>
      <c r="C785" s="18" t="s">
        <v>752</v>
      </c>
      <c r="D785" s="24" t="s">
        <v>1057</v>
      </c>
      <c r="H785" s="40" t="s">
        <v>27</v>
      </c>
      <c r="J785" s="35" t="s">
        <v>457</v>
      </c>
      <c r="K785" s="24" t="s">
        <v>960</v>
      </c>
      <c r="L785" s="23"/>
      <c r="M785" s="23"/>
      <c r="N785" s="17">
        <v>45846.0</v>
      </c>
      <c r="O785" s="23"/>
    </row>
    <row r="786">
      <c r="A786" s="16">
        <f t="shared" si="1"/>
        <v>785</v>
      </c>
      <c r="B786" s="17">
        <v>45847.0</v>
      </c>
      <c r="C786" s="18" t="s">
        <v>87</v>
      </c>
      <c r="D786" s="24" t="s">
        <v>1058</v>
      </c>
      <c r="H786" s="40" t="s">
        <v>27</v>
      </c>
      <c r="J786" s="35" t="s">
        <v>457</v>
      </c>
      <c r="K786" s="24" t="s">
        <v>960</v>
      </c>
      <c r="L786" s="23"/>
      <c r="M786" s="23"/>
      <c r="N786" s="17">
        <v>45847.0</v>
      </c>
      <c r="O786" s="23"/>
    </row>
    <row r="787">
      <c r="A787" s="16">
        <f t="shared" si="1"/>
        <v>786</v>
      </c>
      <c r="B787" s="17">
        <v>45847.0</v>
      </c>
      <c r="C787" s="18" t="s">
        <v>110</v>
      </c>
      <c r="D787" s="24" t="s">
        <v>1059</v>
      </c>
      <c r="H787" s="40" t="s">
        <v>27</v>
      </c>
      <c r="J787" s="35" t="s">
        <v>457</v>
      </c>
      <c r="K787" s="24" t="s">
        <v>960</v>
      </c>
      <c r="L787" s="23"/>
      <c r="M787" s="23"/>
      <c r="N787" s="17">
        <v>45847.0</v>
      </c>
      <c r="O787" s="23"/>
    </row>
    <row r="788">
      <c r="A788" s="16">
        <f t="shared" si="1"/>
        <v>787</v>
      </c>
      <c r="B788" s="17">
        <v>45848.0</v>
      </c>
      <c r="C788" s="18" t="s">
        <v>87</v>
      </c>
      <c r="D788" s="59" t="s">
        <v>1060</v>
      </c>
      <c r="H788" s="40" t="s">
        <v>27</v>
      </c>
      <c r="J788" s="35" t="s">
        <v>457</v>
      </c>
      <c r="K788" s="24" t="s">
        <v>960</v>
      </c>
      <c r="L788" s="23"/>
      <c r="M788" s="23"/>
      <c r="N788" s="17">
        <v>45848.0</v>
      </c>
      <c r="O788" s="23"/>
    </row>
    <row r="789">
      <c r="A789" s="16">
        <f t="shared" si="1"/>
        <v>788</v>
      </c>
      <c r="B789" s="17">
        <v>45848.0</v>
      </c>
      <c r="C789" s="18" t="s">
        <v>110</v>
      </c>
      <c r="D789" s="24" t="s">
        <v>1061</v>
      </c>
      <c r="H789" s="40" t="s">
        <v>27</v>
      </c>
      <c r="J789" s="35" t="s">
        <v>457</v>
      </c>
      <c r="K789" s="24" t="s">
        <v>1062</v>
      </c>
      <c r="L789" s="23"/>
      <c r="M789" s="23"/>
      <c r="N789" s="17">
        <v>45848.0</v>
      </c>
      <c r="O789" s="23"/>
    </row>
    <row r="790">
      <c r="A790" s="16">
        <f t="shared" si="1"/>
        <v>789</v>
      </c>
      <c r="B790" s="17">
        <v>45848.0</v>
      </c>
      <c r="C790" s="18" t="s">
        <v>87</v>
      </c>
      <c r="D790" s="24" t="s">
        <v>1063</v>
      </c>
      <c r="H790" s="40" t="s">
        <v>27</v>
      </c>
      <c r="J790" s="24" t="s">
        <v>419</v>
      </c>
      <c r="K790" s="22"/>
      <c r="L790" s="23"/>
      <c r="M790" s="23"/>
      <c r="N790" s="23"/>
      <c r="O790" s="52">
        <v>45862.0</v>
      </c>
    </row>
    <row r="791">
      <c r="A791" s="16">
        <f t="shared" si="1"/>
        <v>790</v>
      </c>
      <c r="B791" s="17">
        <v>45852.0</v>
      </c>
      <c r="C791" s="18" t="s">
        <v>110</v>
      </c>
      <c r="D791" s="24" t="s">
        <v>1064</v>
      </c>
      <c r="H791" s="40" t="s">
        <v>27</v>
      </c>
      <c r="J791" s="24" t="s">
        <v>419</v>
      </c>
      <c r="K791" s="22"/>
      <c r="L791" s="23"/>
      <c r="M791" s="23"/>
      <c r="N791" s="23"/>
      <c r="O791" s="17">
        <v>45862.0</v>
      </c>
    </row>
    <row r="792">
      <c r="A792" s="16">
        <f t="shared" si="1"/>
        <v>791</v>
      </c>
      <c r="B792" s="17">
        <v>45855.0</v>
      </c>
      <c r="C792" s="18" t="s">
        <v>490</v>
      </c>
      <c r="D792" s="24" t="s">
        <v>1065</v>
      </c>
      <c r="H792" s="40" t="s">
        <v>27</v>
      </c>
      <c r="J792" s="35" t="s">
        <v>457</v>
      </c>
      <c r="K792" s="24" t="s">
        <v>960</v>
      </c>
      <c r="L792" s="23"/>
      <c r="M792" s="23"/>
      <c r="N792" s="17">
        <v>45856.0</v>
      </c>
      <c r="O792" s="23"/>
    </row>
    <row r="793">
      <c r="A793" s="16">
        <f t="shared" si="1"/>
        <v>792</v>
      </c>
      <c r="B793" s="17">
        <v>45856.0</v>
      </c>
      <c r="C793" s="18" t="s">
        <v>110</v>
      </c>
      <c r="D793" s="24" t="s">
        <v>1059</v>
      </c>
      <c r="H793" s="40" t="s">
        <v>27</v>
      </c>
      <c r="J793" s="35" t="s">
        <v>457</v>
      </c>
      <c r="K793" s="24" t="s">
        <v>960</v>
      </c>
      <c r="L793" s="23"/>
      <c r="M793" s="23"/>
      <c r="N793" s="17">
        <v>45856.0</v>
      </c>
      <c r="O793" s="23"/>
    </row>
    <row r="794">
      <c r="A794" s="16">
        <f t="shared" si="1"/>
        <v>793</v>
      </c>
      <c r="B794" s="17">
        <v>45859.0</v>
      </c>
      <c r="C794" s="18" t="s">
        <v>752</v>
      </c>
      <c r="D794" s="24" t="s">
        <v>1066</v>
      </c>
      <c r="H794" s="40" t="s">
        <v>27</v>
      </c>
      <c r="J794" s="35" t="s">
        <v>457</v>
      </c>
      <c r="K794" s="24" t="s">
        <v>960</v>
      </c>
      <c r="L794" s="23"/>
      <c r="M794" s="23"/>
      <c r="N794" s="17">
        <v>45859.0</v>
      </c>
      <c r="O794" s="23"/>
    </row>
    <row r="795">
      <c r="A795" s="16">
        <f t="shared" si="1"/>
        <v>794</v>
      </c>
      <c r="B795" s="17">
        <v>45860.0</v>
      </c>
      <c r="C795" s="18" t="s">
        <v>490</v>
      </c>
      <c r="D795" s="24" t="s">
        <v>1067</v>
      </c>
      <c r="H795" s="40" t="s">
        <v>27</v>
      </c>
      <c r="J795" s="35" t="s">
        <v>457</v>
      </c>
      <c r="K795" s="24" t="s">
        <v>1068</v>
      </c>
      <c r="L795" s="23"/>
      <c r="M795" s="23"/>
      <c r="N795" s="17">
        <v>45860.0</v>
      </c>
      <c r="O795" s="23"/>
    </row>
    <row r="796">
      <c r="A796" s="16">
        <f t="shared" si="1"/>
        <v>795</v>
      </c>
      <c r="B796" s="17">
        <v>45860.0</v>
      </c>
      <c r="C796" s="18" t="s">
        <v>110</v>
      </c>
      <c r="D796" s="24" t="s">
        <v>1069</v>
      </c>
      <c r="H796" s="40" t="s">
        <v>27</v>
      </c>
      <c r="J796" s="35" t="s">
        <v>457</v>
      </c>
      <c r="K796" s="24" t="s">
        <v>960</v>
      </c>
      <c r="L796" s="23"/>
      <c r="M796" s="23"/>
      <c r="N796" s="17">
        <v>45860.0</v>
      </c>
      <c r="O796" s="23"/>
    </row>
    <row r="797">
      <c r="A797" s="16">
        <f t="shared" si="1"/>
        <v>796</v>
      </c>
      <c r="B797" s="17">
        <v>45862.0</v>
      </c>
      <c r="C797" s="18" t="s">
        <v>110</v>
      </c>
      <c r="D797" s="24" t="s">
        <v>1070</v>
      </c>
      <c r="H797" s="40" t="s">
        <v>27</v>
      </c>
      <c r="J797" s="35" t="s">
        <v>457</v>
      </c>
      <c r="K797" s="24" t="s">
        <v>960</v>
      </c>
      <c r="L797" s="23"/>
      <c r="M797" s="23"/>
      <c r="N797" s="17">
        <v>45862.0</v>
      </c>
      <c r="O797" s="23"/>
    </row>
    <row r="798">
      <c r="A798" s="16">
        <f t="shared" si="1"/>
        <v>797</v>
      </c>
      <c r="B798" s="17">
        <v>45863.0</v>
      </c>
      <c r="C798" s="18" t="s">
        <v>87</v>
      </c>
      <c r="D798" s="24" t="s">
        <v>1071</v>
      </c>
      <c r="H798" s="40" t="s">
        <v>27</v>
      </c>
      <c r="J798" s="35" t="s">
        <v>457</v>
      </c>
      <c r="K798" s="24" t="s">
        <v>960</v>
      </c>
      <c r="L798" s="23"/>
      <c r="M798" s="23"/>
      <c r="N798" s="17">
        <v>45863.0</v>
      </c>
      <c r="O798" s="23"/>
    </row>
    <row r="799">
      <c r="A799" s="16">
        <f t="shared" si="1"/>
        <v>798</v>
      </c>
      <c r="B799" s="17">
        <v>45867.0</v>
      </c>
      <c r="C799" s="18" t="s">
        <v>87</v>
      </c>
      <c r="D799" s="59" t="s">
        <v>1072</v>
      </c>
      <c r="H799" s="40" t="s">
        <v>27</v>
      </c>
      <c r="J799" s="35" t="s">
        <v>457</v>
      </c>
      <c r="K799" s="24" t="s">
        <v>960</v>
      </c>
      <c r="L799" s="23"/>
      <c r="M799" s="23"/>
      <c r="N799" s="17">
        <v>45867.0</v>
      </c>
      <c r="O799" s="23"/>
    </row>
    <row r="800">
      <c r="A800" s="16">
        <f t="shared" si="1"/>
        <v>799</v>
      </c>
      <c r="B800" s="17">
        <v>45875.0</v>
      </c>
      <c r="C800" s="18" t="s">
        <v>110</v>
      </c>
      <c r="D800" s="24" t="s">
        <v>1073</v>
      </c>
      <c r="H800" s="40" t="s">
        <v>31</v>
      </c>
      <c r="J800" s="24" t="s">
        <v>415</v>
      </c>
      <c r="K800" s="24" t="s">
        <v>1074</v>
      </c>
      <c r="L800" s="23"/>
      <c r="M800" s="23"/>
      <c r="N800" s="23"/>
      <c r="O800" s="17">
        <v>45888.0</v>
      </c>
    </row>
    <row r="801">
      <c r="A801" s="16">
        <f t="shared" si="1"/>
        <v>800</v>
      </c>
      <c r="B801" s="17">
        <v>45875.0</v>
      </c>
      <c r="C801" s="18" t="s">
        <v>87</v>
      </c>
      <c r="D801" s="24" t="s">
        <v>1075</v>
      </c>
      <c r="H801" s="40" t="s">
        <v>71</v>
      </c>
      <c r="J801" s="24" t="s">
        <v>415</v>
      </c>
      <c r="K801" s="24" t="s">
        <v>1076</v>
      </c>
      <c r="L801" s="23"/>
      <c r="M801" s="23"/>
      <c r="N801" s="23"/>
      <c r="O801" s="17">
        <v>45888.0</v>
      </c>
    </row>
    <row r="802">
      <c r="A802" s="16">
        <f t="shared" si="1"/>
        <v>801</v>
      </c>
      <c r="B802" s="17">
        <v>45881.0</v>
      </c>
      <c r="C802" s="18" t="s">
        <v>752</v>
      </c>
      <c r="D802" s="24" t="s">
        <v>1077</v>
      </c>
      <c r="H802" s="40" t="s">
        <v>27</v>
      </c>
      <c r="J802" s="35" t="s">
        <v>457</v>
      </c>
      <c r="K802" s="24" t="s">
        <v>960</v>
      </c>
      <c r="L802" s="23"/>
      <c r="M802" s="23"/>
      <c r="N802" s="17">
        <v>45881.0</v>
      </c>
      <c r="O802" s="23"/>
    </row>
    <row r="803">
      <c r="A803" s="16">
        <f t="shared" si="1"/>
        <v>802</v>
      </c>
      <c r="B803" s="17">
        <v>45881.0</v>
      </c>
      <c r="C803" s="18" t="s">
        <v>92</v>
      </c>
      <c r="D803" s="24" t="s">
        <v>1078</v>
      </c>
      <c r="H803" s="40" t="s">
        <v>27</v>
      </c>
      <c r="J803" s="35" t="s">
        <v>457</v>
      </c>
      <c r="K803" s="24" t="s">
        <v>956</v>
      </c>
      <c r="L803" s="23"/>
      <c r="M803" s="23"/>
      <c r="N803" s="17">
        <v>45881.0</v>
      </c>
      <c r="O803" s="23"/>
    </row>
    <row r="804">
      <c r="A804" s="16">
        <f t="shared" si="1"/>
        <v>803</v>
      </c>
      <c r="B804" s="17">
        <v>45881.0</v>
      </c>
      <c r="C804" s="18" t="s">
        <v>752</v>
      </c>
      <c r="D804" s="24" t="s">
        <v>1079</v>
      </c>
      <c r="H804" s="40" t="s">
        <v>27</v>
      </c>
      <c r="J804" s="35" t="s">
        <v>457</v>
      </c>
      <c r="K804" s="24" t="s">
        <v>960</v>
      </c>
      <c r="L804" s="23"/>
      <c r="M804" s="23"/>
      <c r="N804" s="17">
        <v>45881.0</v>
      </c>
      <c r="O804" s="23"/>
    </row>
    <row r="805">
      <c r="A805" s="16">
        <f t="shared" si="1"/>
        <v>804</v>
      </c>
      <c r="B805" s="17">
        <v>45881.0</v>
      </c>
      <c r="C805" s="18" t="s">
        <v>490</v>
      </c>
      <c r="D805" s="24" t="s">
        <v>1080</v>
      </c>
      <c r="H805" s="40" t="s">
        <v>27</v>
      </c>
      <c r="J805" s="35" t="s">
        <v>457</v>
      </c>
      <c r="K805" s="24" t="s">
        <v>960</v>
      </c>
      <c r="L805" s="23"/>
      <c r="M805" s="23"/>
      <c r="N805" s="17">
        <v>45881.0</v>
      </c>
      <c r="O805" s="23"/>
    </row>
    <row r="806">
      <c r="A806" s="16">
        <f t="shared" si="1"/>
        <v>805</v>
      </c>
      <c r="B806" s="17">
        <v>45884.0</v>
      </c>
      <c r="C806" s="18" t="s">
        <v>110</v>
      </c>
      <c r="D806" s="24" t="s">
        <v>1081</v>
      </c>
      <c r="H806" s="40" t="s">
        <v>27</v>
      </c>
      <c r="J806" s="35" t="s">
        <v>457</v>
      </c>
      <c r="K806" s="24" t="s">
        <v>1082</v>
      </c>
      <c r="L806" s="23"/>
      <c r="M806" s="23"/>
      <c r="N806" s="17">
        <v>45884.0</v>
      </c>
      <c r="O806" s="23"/>
    </row>
    <row r="807">
      <c r="A807" s="16">
        <f t="shared" si="1"/>
        <v>806</v>
      </c>
      <c r="B807" s="17">
        <v>45884.0</v>
      </c>
      <c r="C807" s="18" t="s">
        <v>752</v>
      </c>
      <c r="D807" s="24" t="s">
        <v>1083</v>
      </c>
      <c r="H807" s="40" t="s">
        <v>27</v>
      </c>
      <c r="J807" s="35" t="s">
        <v>457</v>
      </c>
      <c r="K807" s="24" t="s">
        <v>960</v>
      </c>
      <c r="L807" s="23"/>
      <c r="M807" s="23"/>
      <c r="N807" s="17">
        <v>45884.0</v>
      </c>
      <c r="O807" s="23"/>
    </row>
    <row r="808">
      <c r="A808" s="16">
        <f t="shared" si="1"/>
        <v>807</v>
      </c>
      <c r="B808" s="17">
        <v>45891.0</v>
      </c>
      <c r="C808" s="18" t="s">
        <v>147</v>
      </c>
      <c r="D808" s="59" t="s">
        <v>1084</v>
      </c>
      <c r="H808" s="40" t="s">
        <v>27</v>
      </c>
      <c r="J808" s="35" t="s">
        <v>457</v>
      </c>
      <c r="K808" s="24" t="s">
        <v>960</v>
      </c>
      <c r="L808" s="23"/>
      <c r="M808" s="23"/>
      <c r="N808" s="17">
        <v>45891.0</v>
      </c>
      <c r="O808" s="23"/>
    </row>
    <row r="809">
      <c r="A809" s="16">
        <f t="shared" si="1"/>
        <v>808</v>
      </c>
      <c r="B809" s="17">
        <v>45894.0</v>
      </c>
      <c r="C809" s="18" t="s">
        <v>147</v>
      </c>
      <c r="D809" s="24" t="s">
        <v>1085</v>
      </c>
      <c r="H809" s="40" t="s">
        <v>27</v>
      </c>
      <c r="J809" s="35" t="s">
        <v>457</v>
      </c>
      <c r="K809" s="24" t="s">
        <v>960</v>
      </c>
      <c r="L809" s="23"/>
      <c r="M809" s="23"/>
      <c r="N809" s="17">
        <v>45894.0</v>
      </c>
      <c r="O809" s="23"/>
    </row>
    <row r="810">
      <c r="A810" s="16">
        <f t="shared" si="1"/>
        <v>809</v>
      </c>
      <c r="B810" s="17">
        <v>45895.0</v>
      </c>
      <c r="C810" s="18" t="s">
        <v>147</v>
      </c>
      <c r="D810" s="59" t="s">
        <v>1086</v>
      </c>
      <c r="H810" s="40" t="s">
        <v>27</v>
      </c>
      <c r="J810" s="35" t="s">
        <v>457</v>
      </c>
      <c r="K810" s="24" t="s">
        <v>960</v>
      </c>
      <c r="L810" s="23"/>
      <c r="M810" s="23"/>
      <c r="N810" s="17">
        <v>45895.0</v>
      </c>
      <c r="O810" s="23"/>
    </row>
    <row r="811">
      <c r="A811" s="16">
        <f t="shared" si="1"/>
        <v>810</v>
      </c>
      <c r="B811" s="17">
        <v>45896.0</v>
      </c>
      <c r="C811" s="18" t="s">
        <v>87</v>
      </c>
      <c r="D811" s="24" t="s">
        <v>1087</v>
      </c>
      <c r="H811" s="40" t="s">
        <v>71</v>
      </c>
      <c r="J811" s="22"/>
      <c r="K811" s="22"/>
      <c r="L811" s="23"/>
      <c r="M811" s="23"/>
      <c r="N811" s="23"/>
      <c r="O811" s="17">
        <v>45903.0</v>
      </c>
    </row>
    <row r="812">
      <c r="A812" s="16">
        <f t="shared" si="1"/>
        <v>811</v>
      </c>
      <c r="B812" s="17">
        <v>45896.0</v>
      </c>
      <c r="C812" s="18" t="s">
        <v>752</v>
      </c>
      <c r="D812" s="24" t="s">
        <v>1088</v>
      </c>
      <c r="H812" s="40" t="s">
        <v>27</v>
      </c>
      <c r="J812" s="35" t="s">
        <v>457</v>
      </c>
      <c r="K812" s="24" t="s">
        <v>960</v>
      </c>
      <c r="L812" s="23"/>
      <c r="M812" s="23"/>
      <c r="N812" s="17">
        <v>45896.0</v>
      </c>
      <c r="O812" s="23"/>
    </row>
    <row r="813">
      <c r="A813" s="16">
        <f t="shared" si="1"/>
        <v>812</v>
      </c>
      <c r="B813" s="17">
        <v>45897.0</v>
      </c>
      <c r="C813" s="18" t="s">
        <v>752</v>
      </c>
      <c r="D813" s="24" t="s">
        <v>1089</v>
      </c>
      <c r="H813" s="40" t="s">
        <v>27</v>
      </c>
      <c r="J813" s="35" t="s">
        <v>457</v>
      </c>
      <c r="K813" s="24" t="s">
        <v>960</v>
      </c>
      <c r="L813" s="23"/>
      <c r="M813" s="23"/>
      <c r="N813" s="17">
        <v>45897.0</v>
      </c>
      <c r="O813" s="23"/>
    </row>
    <row r="814">
      <c r="A814" s="16">
        <f t="shared" si="1"/>
        <v>813</v>
      </c>
      <c r="B814" s="17">
        <v>45898.0</v>
      </c>
      <c r="C814" s="18" t="s">
        <v>752</v>
      </c>
      <c r="D814" s="24" t="s">
        <v>1090</v>
      </c>
      <c r="H814" s="40" t="s">
        <v>27</v>
      </c>
      <c r="J814" s="35" t="s">
        <v>457</v>
      </c>
      <c r="K814" s="24" t="s">
        <v>960</v>
      </c>
      <c r="L814" s="23"/>
      <c r="M814" s="23"/>
      <c r="N814" s="17">
        <v>45898.0</v>
      </c>
      <c r="O814" s="23"/>
    </row>
    <row r="815">
      <c r="A815" s="16">
        <f t="shared" si="1"/>
        <v>814</v>
      </c>
      <c r="B815" s="17">
        <v>45901.0</v>
      </c>
      <c r="C815" s="18" t="s">
        <v>87</v>
      </c>
      <c r="D815" s="24" t="s">
        <v>1091</v>
      </c>
      <c r="H815" s="40" t="s">
        <v>27</v>
      </c>
      <c r="J815" s="35" t="s">
        <v>457</v>
      </c>
      <c r="K815" s="24" t="s">
        <v>1092</v>
      </c>
      <c r="L815" s="23"/>
      <c r="M815" s="23"/>
      <c r="N815" s="17">
        <v>45901.0</v>
      </c>
      <c r="O815" s="23"/>
    </row>
    <row r="816">
      <c r="A816" s="16">
        <f t="shared" si="1"/>
        <v>815</v>
      </c>
      <c r="B816" s="17">
        <v>45902.0</v>
      </c>
      <c r="C816" s="18" t="s">
        <v>110</v>
      </c>
      <c r="D816" s="24" t="s">
        <v>1093</v>
      </c>
      <c r="H816" s="40" t="s">
        <v>31</v>
      </c>
      <c r="J816" s="24" t="s">
        <v>419</v>
      </c>
      <c r="K816" s="22"/>
      <c r="L816" s="23"/>
      <c r="M816" s="23"/>
      <c r="N816" s="23"/>
      <c r="O816" s="17">
        <v>45920.0</v>
      </c>
    </row>
    <row r="817">
      <c r="A817" s="16">
        <f t="shared" si="1"/>
        <v>816</v>
      </c>
      <c r="B817" s="17">
        <v>45905.0</v>
      </c>
      <c r="C817" s="18" t="s">
        <v>87</v>
      </c>
      <c r="D817" s="24" t="s">
        <v>1094</v>
      </c>
      <c r="H817" s="40" t="s">
        <v>31</v>
      </c>
      <c r="J817" s="24" t="s">
        <v>419</v>
      </c>
      <c r="K817" s="22"/>
      <c r="L817" s="23"/>
      <c r="M817" s="23"/>
      <c r="N817" s="23"/>
      <c r="O817" s="17">
        <v>45920.0</v>
      </c>
    </row>
    <row r="818">
      <c r="A818" s="16">
        <f t="shared" si="1"/>
        <v>817</v>
      </c>
      <c r="B818" s="17">
        <v>45905.0</v>
      </c>
      <c r="C818" s="18" t="s">
        <v>110</v>
      </c>
      <c r="D818" s="24" t="s">
        <v>1095</v>
      </c>
      <c r="H818" s="40" t="s">
        <v>348</v>
      </c>
      <c r="J818" s="22"/>
      <c r="K818" s="22"/>
      <c r="L818" s="23"/>
      <c r="M818" s="23"/>
      <c r="N818" s="23"/>
      <c r="O818" s="23"/>
    </row>
    <row r="819">
      <c r="A819" s="16">
        <f t="shared" si="1"/>
        <v>818</v>
      </c>
      <c r="B819" s="17">
        <v>45908.0</v>
      </c>
      <c r="C819" s="18" t="s">
        <v>147</v>
      </c>
      <c r="D819" s="59" t="s">
        <v>1096</v>
      </c>
      <c r="H819" s="40" t="s">
        <v>27</v>
      </c>
      <c r="J819" s="35" t="s">
        <v>457</v>
      </c>
      <c r="K819" s="24" t="s">
        <v>960</v>
      </c>
      <c r="L819" s="23"/>
      <c r="M819" s="23"/>
      <c r="N819" s="17">
        <v>45908.0</v>
      </c>
      <c r="O819" s="23"/>
    </row>
    <row r="820">
      <c r="A820" s="16">
        <f t="shared" si="1"/>
        <v>819</v>
      </c>
      <c r="B820" s="17">
        <v>45911.0</v>
      </c>
      <c r="C820" s="18" t="s">
        <v>752</v>
      </c>
      <c r="D820" s="24" t="s">
        <v>1097</v>
      </c>
      <c r="H820" s="40" t="s">
        <v>27</v>
      </c>
      <c r="J820" s="35" t="s">
        <v>457</v>
      </c>
      <c r="K820" s="24" t="s">
        <v>960</v>
      </c>
      <c r="L820" s="23"/>
      <c r="M820" s="23"/>
      <c r="N820" s="17">
        <v>45911.0</v>
      </c>
      <c r="O820" s="23"/>
    </row>
    <row r="821">
      <c r="A821" s="16">
        <f t="shared" si="1"/>
        <v>820</v>
      </c>
      <c r="B821" s="17">
        <v>45911.0</v>
      </c>
      <c r="C821" s="18" t="s">
        <v>92</v>
      </c>
      <c r="D821" s="24" t="s">
        <v>1098</v>
      </c>
      <c r="H821" s="40" t="s">
        <v>348</v>
      </c>
      <c r="J821" s="22"/>
      <c r="K821" s="22"/>
      <c r="L821" s="23"/>
      <c r="M821" s="23"/>
      <c r="N821" s="23"/>
      <c r="O821" s="23"/>
    </row>
    <row r="822">
      <c r="A822" s="16">
        <f t="shared" si="1"/>
        <v>821</v>
      </c>
      <c r="B822" s="17">
        <v>45911.0</v>
      </c>
      <c r="C822" s="18" t="s">
        <v>110</v>
      </c>
      <c r="D822" s="24" t="s">
        <v>1099</v>
      </c>
      <c r="H822" s="40" t="s">
        <v>31</v>
      </c>
      <c r="J822" s="24" t="s">
        <v>419</v>
      </c>
      <c r="K822" s="22"/>
      <c r="L822" s="23"/>
      <c r="M822" s="23"/>
      <c r="N822" s="23"/>
      <c r="O822" s="17">
        <v>45920.0</v>
      </c>
    </row>
    <row r="823">
      <c r="A823" s="16">
        <f t="shared" si="1"/>
        <v>822</v>
      </c>
      <c r="B823" s="17">
        <v>45915.0</v>
      </c>
      <c r="C823" s="18" t="s">
        <v>87</v>
      </c>
      <c r="D823" s="24" t="s">
        <v>1100</v>
      </c>
      <c r="H823" s="40" t="s">
        <v>27</v>
      </c>
      <c r="J823" s="35" t="s">
        <v>457</v>
      </c>
      <c r="K823" s="24" t="s">
        <v>960</v>
      </c>
      <c r="L823" s="23"/>
      <c r="M823" s="23"/>
      <c r="N823" s="17">
        <v>45915.0</v>
      </c>
      <c r="O823" s="23"/>
    </row>
    <row r="824">
      <c r="A824" s="16">
        <f t="shared" si="1"/>
        <v>823</v>
      </c>
      <c r="B824" s="17">
        <v>45915.0</v>
      </c>
      <c r="C824" s="18" t="s">
        <v>87</v>
      </c>
      <c r="D824" s="24" t="s">
        <v>1101</v>
      </c>
      <c r="H824" s="40" t="s">
        <v>27</v>
      </c>
      <c r="J824" s="35" t="s">
        <v>457</v>
      </c>
      <c r="K824" s="24" t="s">
        <v>960</v>
      </c>
      <c r="L824" s="23"/>
      <c r="M824" s="23"/>
      <c r="N824" s="17">
        <v>45915.0</v>
      </c>
      <c r="O824" s="23"/>
    </row>
    <row r="825">
      <c r="A825" s="16">
        <f t="shared" si="1"/>
        <v>824</v>
      </c>
      <c r="B825" s="17">
        <v>45915.0</v>
      </c>
      <c r="C825" s="18" t="s">
        <v>110</v>
      </c>
      <c r="D825" s="24" t="s">
        <v>1102</v>
      </c>
      <c r="H825" s="40" t="s">
        <v>27</v>
      </c>
      <c r="J825" s="35" t="s">
        <v>457</v>
      </c>
      <c r="K825" s="24" t="s">
        <v>1103</v>
      </c>
      <c r="L825" s="23"/>
      <c r="M825" s="23"/>
      <c r="N825" s="17">
        <v>45916.0</v>
      </c>
      <c r="O825" s="23"/>
    </row>
    <row r="826">
      <c r="A826" s="16">
        <f t="shared" si="1"/>
        <v>825</v>
      </c>
      <c r="B826" s="17">
        <v>45916.0</v>
      </c>
      <c r="C826" s="18" t="s">
        <v>147</v>
      </c>
      <c r="D826" s="59" t="s">
        <v>1104</v>
      </c>
      <c r="H826" s="40" t="s">
        <v>27</v>
      </c>
      <c r="J826" s="35" t="s">
        <v>457</v>
      </c>
      <c r="K826" s="24" t="s">
        <v>960</v>
      </c>
      <c r="M826" s="23"/>
      <c r="N826" s="17">
        <v>45916.0</v>
      </c>
      <c r="O826" s="23"/>
    </row>
    <row r="827">
      <c r="A827" s="16">
        <f t="shared" si="1"/>
        <v>826</v>
      </c>
      <c r="B827" s="17">
        <v>45916.0</v>
      </c>
      <c r="C827" s="18" t="s">
        <v>147</v>
      </c>
      <c r="D827" s="59" t="s">
        <v>1105</v>
      </c>
      <c r="H827" s="40" t="s">
        <v>27</v>
      </c>
      <c r="J827" s="35" t="s">
        <v>457</v>
      </c>
      <c r="K827" s="24" t="s">
        <v>960</v>
      </c>
      <c r="L827" s="23"/>
      <c r="M827" s="23"/>
      <c r="N827" s="17">
        <v>45916.0</v>
      </c>
      <c r="O827" s="23"/>
    </row>
    <row r="828">
      <c r="A828" s="16">
        <f t="shared" si="1"/>
        <v>827</v>
      </c>
      <c r="B828" s="17">
        <v>45918.0</v>
      </c>
      <c r="C828" s="18" t="s">
        <v>110</v>
      </c>
      <c r="D828" s="24" t="s">
        <v>1106</v>
      </c>
      <c r="H828" s="40" t="s">
        <v>27</v>
      </c>
      <c r="J828" s="35" t="s">
        <v>457</v>
      </c>
      <c r="K828" s="24" t="s">
        <v>960</v>
      </c>
      <c r="L828" s="23"/>
      <c r="M828" s="23"/>
      <c r="N828" s="17">
        <v>45918.0</v>
      </c>
      <c r="O828" s="23"/>
    </row>
    <row r="829">
      <c r="A829" s="16">
        <f t="shared" si="1"/>
        <v>828</v>
      </c>
      <c r="B829" s="17">
        <v>45919.0</v>
      </c>
      <c r="C829" s="18" t="s">
        <v>87</v>
      </c>
      <c r="D829" s="59" t="s">
        <v>1107</v>
      </c>
      <c r="H829" s="40" t="s">
        <v>27</v>
      </c>
      <c r="J829" s="35" t="s">
        <v>457</v>
      </c>
      <c r="K829" s="24" t="s">
        <v>1108</v>
      </c>
      <c r="L829" s="23"/>
      <c r="M829" s="23"/>
      <c r="N829" s="17">
        <v>45919.0</v>
      </c>
      <c r="O829" s="23"/>
    </row>
    <row r="830">
      <c r="A830" s="16">
        <f t="shared" si="1"/>
        <v>829</v>
      </c>
      <c r="B830" s="17">
        <v>45922.0</v>
      </c>
      <c r="C830" s="18" t="s">
        <v>752</v>
      </c>
      <c r="D830" s="24" t="s">
        <v>1109</v>
      </c>
      <c r="H830" s="40" t="s">
        <v>27</v>
      </c>
      <c r="J830" s="35" t="s">
        <v>457</v>
      </c>
      <c r="K830" s="24" t="s">
        <v>960</v>
      </c>
      <c r="L830" s="23"/>
      <c r="M830" s="23"/>
      <c r="N830" s="17">
        <v>45922.0</v>
      </c>
      <c r="O830" s="23"/>
    </row>
    <row r="831">
      <c r="A831" s="16">
        <f t="shared" si="1"/>
        <v>830</v>
      </c>
      <c r="B831" s="17">
        <v>45922.0</v>
      </c>
      <c r="C831" s="18" t="s">
        <v>752</v>
      </c>
      <c r="D831" s="24" t="s">
        <v>1110</v>
      </c>
      <c r="H831" s="40" t="s">
        <v>27</v>
      </c>
      <c r="J831" s="35" t="s">
        <v>457</v>
      </c>
      <c r="K831" s="24" t="s">
        <v>960</v>
      </c>
      <c r="L831" s="23"/>
      <c r="M831" s="23"/>
      <c r="N831" s="17">
        <v>45922.0</v>
      </c>
      <c r="O831" s="23"/>
    </row>
    <row r="832">
      <c r="A832" s="16">
        <f t="shared" si="1"/>
        <v>831</v>
      </c>
      <c r="B832" s="17">
        <v>45922.0</v>
      </c>
      <c r="C832" s="18" t="s">
        <v>752</v>
      </c>
      <c r="D832" s="24" t="s">
        <v>1111</v>
      </c>
      <c r="H832" s="40" t="s">
        <v>27</v>
      </c>
      <c r="J832" s="35" t="s">
        <v>457</v>
      </c>
      <c r="K832" s="24" t="s">
        <v>960</v>
      </c>
      <c r="L832" s="23"/>
      <c r="M832" s="23"/>
      <c r="N832" s="17">
        <v>45923.0</v>
      </c>
      <c r="O832" s="23"/>
    </row>
    <row r="833">
      <c r="A833" s="16">
        <f t="shared" si="1"/>
        <v>832</v>
      </c>
      <c r="B833" s="17">
        <v>45923.0</v>
      </c>
      <c r="C833" s="18" t="s">
        <v>87</v>
      </c>
      <c r="D833" s="24" t="s">
        <v>1112</v>
      </c>
      <c r="H833" s="40" t="s">
        <v>27</v>
      </c>
      <c r="J833" s="35" t="s">
        <v>457</v>
      </c>
      <c r="K833" s="24" t="s">
        <v>960</v>
      </c>
      <c r="L833" s="23"/>
      <c r="M833" s="23"/>
      <c r="N833" s="17">
        <v>45923.0</v>
      </c>
      <c r="O833" s="23"/>
    </row>
    <row r="834">
      <c r="A834" s="16">
        <f t="shared" si="1"/>
        <v>833</v>
      </c>
      <c r="B834" s="17">
        <v>45924.0</v>
      </c>
      <c r="C834" s="18" t="s">
        <v>110</v>
      </c>
      <c r="D834" s="24" t="s">
        <v>1113</v>
      </c>
      <c r="H834" s="40" t="s">
        <v>31</v>
      </c>
      <c r="J834" s="24" t="s">
        <v>419</v>
      </c>
      <c r="K834" s="24" t="s">
        <v>1114</v>
      </c>
      <c r="L834" s="23"/>
      <c r="M834" s="23"/>
      <c r="N834" s="23"/>
      <c r="O834" s="23"/>
    </row>
    <row r="835">
      <c r="A835" s="16">
        <f t="shared" si="1"/>
        <v>834</v>
      </c>
      <c r="B835" s="17">
        <v>45924.0</v>
      </c>
      <c r="C835" s="18" t="s">
        <v>110</v>
      </c>
      <c r="D835" s="24" t="s">
        <v>1115</v>
      </c>
      <c r="H835" s="40" t="s">
        <v>31</v>
      </c>
      <c r="J835" s="24" t="s">
        <v>419</v>
      </c>
      <c r="K835" s="24" t="s">
        <v>1114</v>
      </c>
      <c r="L835" s="23"/>
      <c r="M835" s="23"/>
      <c r="N835" s="23"/>
      <c r="O835" s="23"/>
    </row>
    <row r="836">
      <c r="A836" s="16">
        <f t="shared" si="1"/>
        <v>835</v>
      </c>
      <c r="B836" s="17">
        <v>45930.0</v>
      </c>
      <c r="C836" s="18" t="s">
        <v>87</v>
      </c>
      <c r="D836" s="24" t="s">
        <v>1116</v>
      </c>
      <c r="H836" s="40" t="s">
        <v>27</v>
      </c>
      <c r="J836" s="35" t="s">
        <v>457</v>
      </c>
      <c r="K836" s="24" t="s">
        <v>960</v>
      </c>
      <c r="L836" s="23"/>
      <c r="M836" s="23"/>
      <c r="N836" s="17">
        <v>45930.0</v>
      </c>
      <c r="O836" s="23"/>
    </row>
    <row r="837">
      <c r="A837" s="16">
        <f t="shared" si="1"/>
        <v>836</v>
      </c>
      <c r="B837" s="17">
        <v>45930.0</v>
      </c>
      <c r="C837" s="18" t="s">
        <v>752</v>
      </c>
      <c r="D837" s="24" t="s">
        <v>1117</v>
      </c>
      <c r="H837" s="40" t="s">
        <v>27</v>
      </c>
      <c r="J837" s="35" t="s">
        <v>457</v>
      </c>
      <c r="K837" s="24" t="s">
        <v>960</v>
      </c>
      <c r="L837" s="23"/>
      <c r="M837" s="23"/>
      <c r="N837" s="17">
        <v>45930.0</v>
      </c>
      <c r="O837" s="23"/>
    </row>
    <row r="838">
      <c r="A838" s="16">
        <f t="shared" si="1"/>
        <v>837</v>
      </c>
      <c r="B838" s="17">
        <v>45933.0</v>
      </c>
      <c r="C838" s="18" t="s">
        <v>752</v>
      </c>
      <c r="D838" s="24" t="s">
        <v>1118</v>
      </c>
      <c r="H838" s="40" t="s">
        <v>27</v>
      </c>
      <c r="J838" s="35" t="s">
        <v>457</v>
      </c>
      <c r="K838" s="24" t="s">
        <v>960</v>
      </c>
      <c r="L838" s="23"/>
      <c r="M838" s="23"/>
      <c r="N838" s="17">
        <v>45933.0</v>
      </c>
      <c r="O838" s="23"/>
    </row>
    <row r="839">
      <c r="A839" s="16">
        <f t="shared" si="1"/>
        <v>838</v>
      </c>
      <c r="B839" s="17">
        <v>45933.0</v>
      </c>
      <c r="C839" s="18" t="s">
        <v>752</v>
      </c>
      <c r="D839" s="24" t="s">
        <v>1119</v>
      </c>
      <c r="H839" s="40" t="s">
        <v>27</v>
      </c>
      <c r="J839" s="35" t="s">
        <v>457</v>
      </c>
      <c r="K839" s="24" t="s">
        <v>960</v>
      </c>
      <c r="L839" s="23"/>
      <c r="M839" s="23"/>
      <c r="N839" s="17">
        <v>45933.0</v>
      </c>
      <c r="O839" s="23"/>
    </row>
    <row r="840">
      <c r="A840" s="16">
        <f t="shared" si="1"/>
        <v>839</v>
      </c>
      <c r="B840" s="17">
        <v>45933.0</v>
      </c>
      <c r="C840" s="70" t="s">
        <v>147</v>
      </c>
      <c r="D840" s="24" t="s">
        <v>1120</v>
      </c>
      <c r="H840" s="40" t="s">
        <v>27</v>
      </c>
      <c r="J840" s="24" t="s">
        <v>419</v>
      </c>
      <c r="K840" s="24" t="s">
        <v>1121</v>
      </c>
      <c r="L840" s="23"/>
      <c r="M840" s="23"/>
      <c r="N840" s="17">
        <v>45933.0</v>
      </c>
      <c r="O840" s="23"/>
    </row>
    <row r="841">
      <c r="A841" s="16">
        <f t="shared" si="1"/>
        <v>840</v>
      </c>
      <c r="B841" s="17">
        <v>45937.0</v>
      </c>
      <c r="C841" s="18" t="s">
        <v>87</v>
      </c>
      <c r="D841" s="24" t="s">
        <v>1122</v>
      </c>
      <c r="H841" s="40" t="s">
        <v>27</v>
      </c>
      <c r="J841" s="35" t="s">
        <v>457</v>
      </c>
      <c r="K841" s="24" t="s">
        <v>960</v>
      </c>
      <c r="L841" s="23"/>
      <c r="M841" s="23"/>
      <c r="N841" s="17">
        <v>45937.0</v>
      </c>
      <c r="O841" s="23"/>
    </row>
    <row r="842">
      <c r="A842" s="16">
        <f t="shared" si="1"/>
        <v>841</v>
      </c>
      <c r="B842" s="17">
        <v>45937.0</v>
      </c>
      <c r="C842" s="18" t="s">
        <v>87</v>
      </c>
      <c r="D842" s="24" t="s">
        <v>1123</v>
      </c>
      <c r="H842" s="40" t="s">
        <v>27</v>
      </c>
      <c r="J842" s="35" t="s">
        <v>457</v>
      </c>
      <c r="K842" s="24" t="s">
        <v>1124</v>
      </c>
      <c r="L842" s="23"/>
      <c r="M842" s="23"/>
      <c r="N842" s="17">
        <v>45937.0</v>
      </c>
      <c r="O842" s="23"/>
    </row>
    <row r="843">
      <c r="A843" s="16">
        <f t="shared" si="1"/>
        <v>842</v>
      </c>
      <c r="B843" s="17">
        <v>45937.0</v>
      </c>
      <c r="C843" s="18" t="s">
        <v>87</v>
      </c>
      <c r="D843" s="24" t="s">
        <v>1125</v>
      </c>
      <c r="H843" s="40" t="s">
        <v>27</v>
      </c>
      <c r="J843" s="35" t="s">
        <v>457</v>
      </c>
      <c r="K843" s="24" t="s">
        <v>960</v>
      </c>
      <c r="L843" s="23"/>
      <c r="M843" s="23"/>
      <c r="N843" s="17">
        <v>45937.0</v>
      </c>
      <c r="O843" s="23"/>
    </row>
    <row r="844">
      <c r="A844" s="16">
        <f t="shared" si="1"/>
        <v>843</v>
      </c>
      <c r="B844" s="17">
        <v>45938.0</v>
      </c>
      <c r="C844" s="18" t="s">
        <v>752</v>
      </c>
      <c r="D844" s="24" t="s">
        <v>1126</v>
      </c>
      <c r="H844" s="40" t="s">
        <v>27</v>
      </c>
      <c r="J844" s="35" t="s">
        <v>457</v>
      </c>
      <c r="K844" s="24" t="s">
        <v>960</v>
      </c>
      <c r="L844" s="23"/>
      <c r="M844" s="23"/>
      <c r="N844" s="17">
        <v>45938.0</v>
      </c>
      <c r="O844" s="23"/>
    </row>
    <row r="845">
      <c r="A845" s="16">
        <f t="shared" si="1"/>
        <v>844</v>
      </c>
      <c r="B845" s="17">
        <v>45939.0</v>
      </c>
      <c r="C845" s="18" t="s">
        <v>752</v>
      </c>
      <c r="D845" s="24" t="s">
        <v>1127</v>
      </c>
      <c r="H845" s="40" t="s">
        <v>27</v>
      </c>
      <c r="J845" s="35" t="s">
        <v>457</v>
      </c>
      <c r="K845" s="24" t="s">
        <v>960</v>
      </c>
      <c r="L845" s="23"/>
      <c r="M845" s="23"/>
      <c r="N845" s="17">
        <v>45939.0</v>
      </c>
      <c r="O845" s="23"/>
    </row>
    <row r="846">
      <c r="A846" s="16">
        <f t="shared" si="1"/>
        <v>845</v>
      </c>
      <c r="B846" s="17">
        <v>45943.0</v>
      </c>
      <c r="C846" s="70" t="s">
        <v>147</v>
      </c>
      <c r="D846" s="59" t="s">
        <v>1128</v>
      </c>
      <c r="H846" s="40" t="s">
        <v>27</v>
      </c>
      <c r="J846" s="24" t="s">
        <v>415</v>
      </c>
      <c r="K846" s="24" t="s">
        <v>960</v>
      </c>
      <c r="L846" s="23"/>
      <c r="M846" s="23"/>
      <c r="N846" s="17">
        <v>45943.0</v>
      </c>
      <c r="O846" s="23"/>
    </row>
    <row r="847">
      <c r="A847" s="16">
        <f t="shared" si="1"/>
        <v>846</v>
      </c>
      <c r="B847" s="17">
        <v>45943.0</v>
      </c>
      <c r="C847" s="18" t="s">
        <v>752</v>
      </c>
      <c r="D847" s="24" t="s">
        <v>1129</v>
      </c>
      <c r="H847" s="40" t="s">
        <v>27</v>
      </c>
      <c r="J847" s="24" t="s">
        <v>415</v>
      </c>
      <c r="K847" s="24" t="s">
        <v>960</v>
      </c>
      <c r="L847" s="23"/>
      <c r="M847" s="23"/>
      <c r="N847" s="17">
        <v>45943.0</v>
      </c>
      <c r="O847" s="23"/>
    </row>
    <row r="848">
      <c r="A848" s="16">
        <f t="shared" si="1"/>
        <v>847</v>
      </c>
      <c r="B848" s="17">
        <v>45944.0</v>
      </c>
      <c r="C848" s="18" t="s">
        <v>752</v>
      </c>
      <c r="D848" s="24" t="s">
        <v>1130</v>
      </c>
      <c r="H848" s="40" t="s">
        <v>27</v>
      </c>
      <c r="J848" s="35" t="s">
        <v>457</v>
      </c>
      <c r="K848" s="24" t="s">
        <v>960</v>
      </c>
      <c r="L848" s="23"/>
      <c r="M848" s="23"/>
      <c r="N848" s="17">
        <v>45944.0</v>
      </c>
      <c r="O848" s="23"/>
    </row>
    <row r="849">
      <c r="A849" s="16">
        <f t="shared" si="1"/>
        <v>848</v>
      </c>
      <c r="B849" s="17">
        <v>45944.0</v>
      </c>
      <c r="C849" s="18" t="s">
        <v>752</v>
      </c>
      <c r="D849" s="24" t="s">
        <v>1131</v>
      </c>
      <c r="H849" s="40" t="s">
        <v>27</v>
      </c>
      <c r="J849" s="35" t="s">
        <v>457</v>
      </c>
      <c r="K849" s="24" t="s">
        <v>960</v>
      </c>
      <c r="L849" s="23"/>
      <c r="M849" s="23"/>
      <c r="N849" s="17">
        <v>45944.0</v>
      </c>
      <c r="O849" s="23"/>
    </row>
    <row r="850">
      <c r="A850" s="16">
        <f t="shared" si="1"/>
        <v>849</v>
      </c>
      <c r="B850" s="17">
        <v>45944.0</v>
      </c>
      <c r="C850" s="18" t="s">
        <v>87</v>
      </c>
      <c r="D850" s="59" t="s">
        <v>1132</v>
      </c>
      <c r="H850" s="40" t="s">
        <v>27</v>
      </c>
      <c r="J850" s="35" t="s">
        <v>457</v>
      </c>
      <c r="K850" s="24" t="s">
        <v>1133</v>
      </c>
      <c r="L850" s="23"/>
      <c r="M850" s="23"/>
      <c r="N850" s="17">
        <v>45944.0</v>
      </c>
      <c r="O850" s="23"/>
    </row>
    <row r="851">
      <c r="A851" s="16">
        <f t="shared" si="1"/>
        <v>850</v>
      </c>
      <c r="B851" s="17">
        <v>45945.0</v>
      </c>
      <c r="C851" s="18" t="s">
        <v>752</v>
      </c>
      <c r="D851" s="24" t="s">
        <v>1134</v>
      </c>
      <c r="H851" s="40" t="s">
        <v>27</v>
      </c>
      <c r="J851" s="35" t="s">
        <v>457</v>
      </c>
      <c r="K851" s="24" t="s">
        <v>960</v>
      </c>
      <c r="L851" s="23"/>
      <c r="M851" s="23"/>
      <c r="N851" s="17">
        <v>45945.0</v>
      </c>
      <c r="O851" s="23"/>
    </row>
    <row r="852">
      <c r="A852" s="16">
        <f t="shared" si="1"/>
        <v>851</v>
      </c>
      <c r="B852" s="17">
        <v>45944.0</v>
      </c>
      <c r="C852" s="18" t="s">
        <v>110</v>
      </c>
      <c r="D852" s="24" t="s">
        <v>1135</v>
      </c>
      <c r="H852" s="33" t="s">
        <v>31</v>
      </c>
      <c r="J852" s="24" t="s">
        <v>419</v>
      </c>
      <c r="K852" s="51">
        <v>45957.0</v>
      </c>
      <c r="L852" s="23"/>
      <c r="M852" s="23"/>
      <c r="N852" s="23"/>
      <c r="O852" s="17">
        <v>45957.0</v>
      </c>
    </row>
    <row r="853">
      <c r="A853" s="16">
        <f t="shared" si="1"/>
        <v>852</v>
      </c>
      <c r="B853" s="17">
        <v>45946.0</v>
      </c>
      <c r="C853" s="18" t="s">
        <v>752</v>
      </c>
      <c r="D853" s="24" t="s">
        <v>1136</v>
      </c>
      <c r="H853" s="40" t="s">
        <v>27</v>
      </c>
      <c r="J853" s="24" t="s">
        <v>419</v>
      </c>
      <c r="K853" s="24" t="s">
        <v>960</v>
      </c>
      <c r="L853" s="23"/>
      <c r="M853" s="23"/>
      <c r="N853" s="17">
        <v>45947.0</v>
      </c>
      <c r="O853" s="23"/>
    </row>
    <row r="854">
      <c r="A854" s="16">
        <f t="shared" si="1"/>
        <v>853</v>
      </c>
      <c r="B854" s="17">
        <v>45947.0</v>
      </c>
      <c r="C854" s="18" t="s">
        <v>752</v>
      </c>
      <c r="D854" s="24" t="s">
        <v>1137</v>
      </c>
      <c r="H854" s="40" t="s">
        <v>27</v>
      </c>
      <c r="J854" s="35" t="s">
        <v>457</v>
      </c>
      <c r="K854" s="24" t="s">
        <v>1138</v>
      </c>
      <c r="L854" s="23"/>
      <c r="M854" s="23"/>
      <c r="N854" s="17">
        <v>45947.0</v>
      </c>
      <c r="O854" s="23"/>
    </row>
    <row r="855">
      <c r="A855" s="16">
        <f t="shared" si="1"/>
        <v>854</v>
      </c>
      <c r="B855" s="17">
        <v>45947.0</v>
      </c>
      <c r="C855" s="18" t="s">
        <v>92</v>
      </c>
      <c r="D855" s="24" t="s">
        <v>1139</v>
      </c>
      <c r="H855" s="40" t="s">
        <v>71</v>
      </c>
      <c r="J855" s="24" t="s">
        <v>415</v>
      </c>
      <c r="K855" s="24" t="s">
        <v>1140</v>
      </c>
      <c r="L855" s="23"/>
      <c r="M855" s="23"/>
      <c r="N855" s="17"/>
      <c r="O855" s="17">
        <v>46052.0</v>
      </c>
    </row>
    <row r="856">
      <c r="A856" s="16">
        <f t="shared" si="1"/>
        <v>855</v>
      </c>
      <c r="B856" s="17">
        <v>45950.0</v>
      </c>
      <c r="C856" s="18" t="s">
        <v>110</v>
      </c>
      <c r="D856" s="24" t="s">
        <v>1141</v>
      </c>
      <c r="H856" s="33" t="s">
        <v>31</v>
      </c>
      <c r="J856" s="24" t="s">
        <v>419</v>
      </c>
      <c r="K856" s="51">
        <v>45957.0</v>
      </c>
      <c r="L856" s="23"/>
      <c r="M856" s="23"/>
      <c r="N856" s="23"/>
      <c r="O856" s="17">
        <v>45957.0</v>
      </c>
    </row>
    <row r="857">
      <c r="A857" s="16">
        <f t="shared" si="1"/>
        <v>856</v>
      </c>
      <c r="B857" s="17">
        <v>45951.0</v>
      </c>
      <c r="C857" s="18" t="s">
        <v>752</v>
      </c>
      <c r="D857" s="24" t="s">
        <v>1142</v>
      </c>
      <c r="H857" s="40" t="s">
        <v>27</v>
      </c>
      <c r="J857" s="35" t="s">
        <v>457</v>
      </c>
      <c r="K857" s="24" t="s">
        <v>960</v>
      </c>
      <c r="L857" s="23"/>
      <c r="M857" s="23"/>
      <c r="N857" s="17">
        <v>45951.0</v>
      </c>
      <c r="O857" s="23"/>
    </row>
    <row r="858">
      <c r="A858" s="16">
        <f t="shared" si="1"/>
        <v>857</v>
      </c>
      <c r="B858" s="17">
        <v>45951.0</v>
      </c>
      <c r="C858" s="18" t="s">
        <v>110</v>
      </c>
      <c r="D858" s="24" t="s">
        <v>1059</v>
      </c>
      <c r="H858" s="40" t="s">
        <v>27</v>
      </c>
      <c r="J858" s="35" t="s">
        <v>457</v>
      </c>
      <c r="K858" s="22"/>
      <c r="L858" s="23"/>
      <c r="M858" s="23"/>
      <c r="N858" s="17">
        <v>45951.0</v>
      </c>
      <c r="O858" s="23"/>
    </row>
    <row r="859">
      <c r="A859" s="16">
        <f t="shared" si="1"/>
        <v>858</v>
      </c>
      <c r="B859" s="17">
        <v>45952.0</v>
      </c>
      <c r="C859" s="18" t="s">
        <v>752</v>
      </c>
      <c r="D859" s="24" t="s">
        <v>1143</v>
      </c>
      <c r="H859" s="40" t="s">
        <v>27</v>
      </c>
      <c r="J859" s="35" t="s">
        <v>457</v>
      </c>
      <c r="K859" s="24" t="s">
        <v>960</v>
      </c>
      <c r="L859" s="23"/>
      <c r="M859" s="23"/>
      <c r="N859" s="17">
        <v>45952.0</v>
      </c>
      <c r="O859" s="23"/>
    </row>
    <row r="860">
      <c r="A860" s="16">
        <f t="shared" si="1"/>
        <v>859</v>
      </c>
      <c r="B860" s="17">
        <v>45952.0</v>
      </c>
      <c r="C860" s="18" t="s">
        <v>92</v>
      </c>
      <c r="D860" s="24" t="s">
        <v>1144</v>
      </c>
      <c r="H860" s="40" t="s">
        <v>27</v>
      </c>
      <c r="J860" s="24" t="s">
        <v>419</v>
      </c>
      <c r="K860" s="24" t="s">
        <v>960</v>
      </c>
      <c r="L860" s="23"/>
      <c r="M860" s="23"/>
      <c r="N860" s="17">
        <v>45952.0</v>
      </c>
      <c r="O860" s="23"/>
    </row>
    <row r="861">
      <c r="A861" s="16">
        <f t="shared" si="1"/>
        <v>860</v>
      </c>
      <c r="B861" s="17">
        <v>45953.0</v>
      </c>
      <c r="C861" s="18" t="s">
        <v>92</v>
      </c>
      <c r="D861" s="24" t="s">
        <v>1145</v>
      </c>
      <c r="H861" s="40" t="s">
        <v>27</v>
      </c>
      <c r="J861" s="35" t="s">
        <v>457</v>
      </c>
      <c r="K861" s="24" t="s">
        <v>960</v>
      </c>
      <c r="L861" s="23"/>
      <c r="M861" s="23"/>
      <c r="N861" s="17">
        <v>45953.0</v>
      </c>
      <c r="O861" s="23"/>
    </row>
    <row r="862">
      <c r="A862" s="16">
        <f t="shared" si="1"/>
        <v>861</v>
      </c>
      <c r="B862" s="17">
        <v>45957.0</v>
      </c>
      <c r="C862" s="18" t="s">
        <v>87</v>
      </c>
      <c r="D862" s="24" t="s">
        <v>1146</v>
      </c>
      <c r="H862" s="40" t="s">
        <v>27</v>
      </c>
      <c r="J862" s="35" t="s">
        <v>457</v>
      </c>
      <c r="K862" s="24" t="s">
        <v>960</v>
      </c>
      <c r="L862" s="23"/>
      <c r="M862" s="23"/>
      <c r="N862" s="17">
        <v>45957.0</v>
      </c>
      <c r="O862" s="23"/>
    </row>
    <row r="863">
      <c r="A863" s="16">
        <f t="shared" si="1"/>
        <v>862</v>
      </c>
      <c r="B863" s="17">
        <v>45958.0</v>
      </c>
      <c r="C863" s="18" t="s">
        <v>87</v>
      </c>
      <c r="D863" s="24" t="s">
        <v>1147</v>
      </c>
      <c r="H863" s="40" t="s">
        <v>27</v>
      </c>
      <c r="J863" s="35" t="s">
        <v>457</v>
      </c>
      <c r="K863" s="24" t="s">
        <v>992</v>
      </c>
      <c r="L863" s="23"/>
      <c r="M863" s="23"/>
      <c r="N863" s="17">
        <v>45958.0</v>
      </c>
      <c r="O863" s="23"/>
    </row>
    <row r="864">
      <c r="A864" s="16">
        <f t="shared" si="1"/>
        <v>863</v>
      </c>
      <c r="B864" s="17">
        <v>45958.0</v>
      </c>
      <c r="C864" s="70" t="s">
        <v>147</v>
      </c>
      <c r="D864" s="59" t="s">
        <v>1148</v>
      </c>
      <c r="H864" s="40" t="s">
        <v>27</v>
      </c>
      <c r="J864" s="24" t="s">
        <v>1149</v>
      </c>
      <c r="K864" s="24" t="s">
        <v>992</v>
      </c>
      <c r="L864" s="23"/>
      <c r="M864" s="23"/>
      <c r="N864" s="17">
        <v>45958.0</v>
      </c>
      <c r="O864" s="23"/>
    </row>
    <row r="865">
      <c r="A865" s="16">
        <f t="shared" si="1"/>
        <v>864</v>
      </c>
      <c r="B865" s="17">
        <v>45960.0</v>
      </c>
      <c r="C865" s="70" t="s">
        <v>147</v>
      </c>
      <c r="D865" s="59" t="s">
        <v>1150</v>
      </c>
      <c r="H865" s="40" t="s">
        <v>27</v>
      </c>
      <c r="J865" s="24" t="s">
        <v>1151</v>
      </c>
      <c r="K865" s="24" t="s">
        <v>992</v>
      </c>
      <c r="L865" s="23"/>
      <c r="M865" s="23"/>
      <c r="N865" s="17">
        <v>45960.0</v>
      </c>
      <c r="O865" s="23"/>
    </row>
    <row r="866">
      <c r="A866" s="16">
        <f t="shared" si="1"/>
        <v>865</v>
      </c>
      <c r="B866" s="17">
        <v>45960.0</v>
      </c>
      <c r="C866" s="70" t="s">
        <v>147</v>
      </c>
      <c r="D866" s="24" t="s">
        <v>1152</v>
      </c>
      <c r="H866" s="40" t="s">
        <v>71</v>
      </c>
      <c r="J866" s="24" t="s">
        <v>1151</v>
      </c>
      <c r="K866" s="24" t="s">
        <v>992</v>
      </c>
      <c r="L866" s="23"/>
      <c r="M866" s="23"/>
      <c r="N866" s="17">
        <v>45961.0</v>
      </c>
      <c r="O866" s="23"/>
    </row>
    <row r="867">
      <c r="A867" s="16">
        <f t="shared" si="1"/>
        <v>866</v>
      </c>
      <c r="B867" s="17">
        <v>45961.0</v>
      </c>
      <c r="C867" s="70" t="s">
        <v>147</v>
      </c>
      <c r="D867" s="24" t="s">
        <v>1153</v>
      </c>
      <c r="H867" s="40" t="s">
        <v>27</v>
      </c>
      <c r="J867" s="24" t="s">
        <v>457</v>
      </c>
      <c r="K867" s="24" t="s">
        <v>992</v>
      </c>
      <c r="L867" s="23"/>
      <c r="M867" s="23"/>
      <c r="N867" s="17">
        <v>45961.0</v>
      </c>
      <c r="O867" s="23"/>
    </row>
    <row r="868">
      <c r="A868" s="16">
        <f t="shared" si="1"/>
        <v>867</v>
      </c>
      <c r="B868" s="17">
        <v>45959.0</v>
      </c>
      <c r="C868" s="18" t="s">
        <v>110</v>
      </c>
      <c r="D868" s="24" t="s">
        <v>1154</v>
      </c>
      <c r="H868" s="40" t="s">
        <v>27</v>
      </c>
      <c r="J868" s="24" t="s">
        <v>457</v>
      </c>
      <c r="K868" s="24" t="s">
        <v>992</v>
      </c>
      <c r="L868" s="23"/>
      <c r="M868" s="23"/>
      <c r="N868" s="17">
        <v>45961.0</v>
      </c>
      <c r="O868" s="23"/>
    </row>
    <row r="869">
      <c r="A869" s="16">
        <f t="shared" si="1"/>
        <v>868</v>
      </c>
      <c r="B869" s="17">
        <v>45964.0</v>
      </c>
      <c r="C869" s="70" t="s">
        <v>147</v>
      </c>
      <c r="D869" s="59" t="s">
        <v>1155</v>
      </c>
      <c r="H869" s="40" t="s">
        <v>27</v>
      </c>
      <c r="J869" s="24" t="s">
        <v>1151</v>
      </c>
      <c r="K869" s="24" t="s">
        <v>992</v>
      </c>
      <c r="L869" s="23"/>
      <c r="M869" s="23"/>
      <c r="N869" s="17">
        <v>45964.0</v>
      </c>
      <c r="O869" s="23"/>
    </row>
    <row r="870">
      <c r="A870" s="16">
        <f t="shared" si="1"/>
        <v>869</v>
      </c>
      <c r="B870" s="17">
        <v>45965.0</v>
      </c>
      <c r="C870" s="18" t="s">
        <v>752</v>
      </c>
      <c r="D870" s="24" t="s">
        <v>1156</v>
      </c>
      <c r="H870" s="40" t="s">
        <v>27</v>
      </c>
      <c r="J870" s="24" t="s">
        <v>457</v>
      </c>
      <c r="K870" s="24" t="s">
        <v>992</v>
      </c>
      <c r="L870" s="23"/>
      <c r="M870" s="23"/>
      <c r="N870" s="17">
        <v>45965.0</v>
      </c>
      <c r="O870" s="23"/>
    </row>
    <row r="871">
      <c r="A871" s="16">
        <f t="shared" si="1"/>
        <v>870</v>
      </c>
      <c r="B871" s="17">
        <v>45968.0</v>
      </c>
      <c r="C871" s="70" t="s">
        <v>147</v>
      </c>
      <c r="D871" s="24" t="s">
        <v>1157</v>
      </c>
      <c r="H871" s="40" t="s">
        <v>27</v>
      </c>
      <c r="J871" s="24" t="s">
        <v>457</v>
      </c>
      <c r="K871" s="24" t="s">
        <v>992</v>
      </c>
      <c r="L871" s="23"/>
      <c r="M871" s="23"/>
      <c r="N871" s="17">
        <v>45968.0</v>
      </c>
      <c r="O871" s="23"/>
    </row>
    <row r="872">
      <c r="A872" s="16">
        <f t="shared" si="1"/>
        <v>871</v>
      </c>
      <c r="B872" s="17">
        <v>45971.0</v>
      </c>
      <c r="C872" s="18" t="s">
        <v>752</v>
      </c>
      <c r="D872" s="24" t="s">
        <v>1158</v>
      </c>
      <c r="H872" s="40" t="s">
        <v>27</v>
      </c>
      <c r="J872" s="24" t="s">
        <v>415</v>
      </c>
      <c r="K872" s="24" t="s">
        <v>960</v>
      </c>
      <c r="L872" s="23"/>
      <c r="M872" s="23"/>
      <c r="N872" s="17">
        <v>45971.0</v>
      </c>
      <c r="O872" s="23"/>
    </row>
    <row r="873">
      <c r="A873" s="16">
        <f t="shared" si="1"/>
        <v>872</v>
      </c>
      <c r="B873" s="17">
        <v>45973.0</v>
      </c>
      <c r="C873" s="18" t="s">
        <v>752</v>
      </c>
      <c r="D873" s="24" t="s">
        <v>1159</v>
      </c>
      <c r="H873" s="40" t="s">
        <v>27</v>
      </c>
      <c r="J873" s="24" t="s">
        <v>457</v>
      </c>
      <c r="K873" s="24" t="s">
        <v>992</v>
      </c>
      <c r="L873" s="23"/>
      <c r="M873" s="23"/>
      <c r="N873" s="17">
        <v>45973.0</v>
      </c>
      <c r="O873" s="23"/>
    </row>
    <row r="874">
      <c r="A874" s="16">
        <f t="shared" si="1"/>
        <v>873</v>
      </c>
      <c r="B874" s="17">
        <v>45978.0</v>
      </c>
      <c r="C874" s="18" t="s">
        <v>87</v>
      </c>
      <c r="D874" s="59" t="s">
        <v>1160</v>
      </c>
      <c r="H874" s="40" t="s">
        <v>27</v>
      </c>
      <c r="J874" s="24" t="s">
        <v>415</v>
      </c>
      <c r="K874" s="24" t="s">
        <v>960</v>
      </c>
      <c r="L874" s="23"/>
      <c r="M874" s="23"/>
      <c r="N874" s="17">
        <v>45978.0</v>
      </c>
      <c r="O874" s="23"/>
    </row>
    <row r="875">
      <c r="A875" s="16">
        <f t="shared" si="1"/>
        <v>874</v>
      </c>
      <c r="B875" s="17">
        <v>45979.0</v>
      </c>
      <c r="C875" s="18" t="s">
        <v>752</v>
      </c>
      <c r="D875" s="24" t="s">
        <v>1161</v>
      </c>
      <c r="H875" s="40" t="s">
        <v>27</v>
      </c>
      <c r="J875" s="24" t="s">
        <v>457</v>
      </c>
      <c r="K875" s="24" t="s">
        <v>992</v>
      </c>
      <c r="L875" s="23"/>
      <c r="M875" s="23"/>
      <c r="N875" s="17">
        <v>45979.0</v>
      </c>
      <c r="O875" s="23"/>
    </row>
    <row r="876">
      <c r="A876" s="16">
        <f t="shared" si="1"/>
        <v>875</v>
      </c>
      <c r="B876" s="17">
        <v>45980.0</v>
      </c>
      <c r="C876" s="18" t="s">
        <v>87</v>
      </c>
      <c r="D876" s="24" t="s">
        <v>1162</v>
      </c>
      <c r="H876" s="40" t="s">
        <v>27</v>
      </c>
      <c r="J876" s="24" t="s">
        <v>457</v>
      </c>
      <c r="K876" s="24" t="s">
        <v>1163</v>
      </c>
      <c r="L876" s="23"/>
      <c r="M876" s="23"/>
      <c r="N876" s="17">
        <v>45980.0</v>
      </c>
      <c r="O876" s="23"/>
    </row>
    <row r="877">
      <c r="A877" s="16">
        <f t="shared" si="1"/>
        <v>876</v>
      </c>
      <c r="B877" s="17">
        <v>45981.0</v>
      </c>
      <c r="C877" s="70" t="s">
        <v>147</v>
      </c>
      <c r="D877" s="24" t="s">
        <v>1164</v>
      </c>
      <c r="H877" s="40" t="s">
        <v>27</v>
      </c>
      <c r="J877" s="24" t="s">
        <v>457</v>
      </c>
      <c r="K877" s="24" t="s">
        <v>992</v>
      </c>
      <c r="L877" s="23"/>
      <c r="M877" s="23"/>
      <c r="N877" s="17">
        <v>45981.0</v>
      </c>
      <c r="O877" s="23"/>
    </row>
    <row r="878">
      <c r="A878" s="16">
        <f t="shared" si="1"/>
        <v>877</v>
      </c>
      <c r="B878" s="17">
        <v>45981.0</v>
      </c>
      <c r="C878" s="70" t="s">
        <v>147</v>
      </c>
      <c r="D878" s="24" t="s">
        <v>1165</v>
      </c>
      <c r="H878" s="40" t="s">
        <v>27</v>
      </c>
      <c r="J878" s="24" t="s">
        <v>457</v>
      </c>
      <c r="K878" s="24" t="s">
        <v>992</v>
      </c>
      <c r="L878" s="23"/>
      <c r="M878" s="23"/>
      <c r="N878" s="17">
        <v>45981.0</v>
      </c>
      <c r="O878" s="23"/>
    </row>
    <row r="879">
      <c r="A879" s="16">
        <f t="shared" si="1"/>
        <v>878</v>
      </c>
      <c r="B879" s="17">
        <v>45981.0</v>
      </c>
      <c r="C879" s="18" t="s">
        <v>752</v>
      </c>
      <c r="D879" s="24" t="s">
        <v>1166</v>
      </c>
      <c r="H879" s="40" t="s">
        <v>27</v>
      </c>
      <c r="J879" s="24" t="s">
        <v>457</v>
      </c>
      <c r="K879" s="24" t="s">
        <v>992</v>
      </c>
      <c r="L879" s="23"/>
      <c r="M879" s="23"/>
      <c r="N879" s="17">
        <v>45981.0</v>
      </c>
      <c r="O879" s="23"/>
    </row>
    <row r="880">
      <c r="A880" s="16">
        <f t="shared" si="1"/>
        <v>879</v>
      </c>
      <c r="B880" s="17">
        <v>45981.0</v>
      </c>
      <c r="C880" s="18" t="s">
        <v>752</v>
      </c>
      <c r="D880" s="24" t="s">
        <v>1167</v>
      </c>
      <c r="H880" s="40" t="s">
        <v>27</v>
      </c>
      <c r="J880" s="24" t="s">
        <v>457</v>
      </c>
      <c r="K880" s="24" t="s">
        <v>992</v>
      </c>
      <c r="L880" s="23"/>
      <c r="M880" s="23"/>
      <c r="N880" s="17">
        <v>45981.0</v>
      </c>
      <c r="O880" s="23"/>
    </row>
    <row r="881">
      <c r="A881" s="16">
        <f t="shared" si="1"/>
        <v>880</v>
      </c>
      <c r="B881" s="17">
        <v>45982.0</v>
      </c>
      <c r="C881" s="18" t="s">
        <v>87</v>
      </c>
      <c r="D881" s="59" t="s">
        <v>1168</v>
      </c>
      <c r="H881" s="40" t="s">
        <v>27</v>
      </c>
      <c r="J881" s="24" t="s">
        <v>457</v>
      </c>
      <c r="K881" s="24" t="s">
        <v>992</v>
      </c>
      <c r="L881" s="23"/>
      <c r="M881" s="23"/>
      <c r="N881" s="17">
        <v>45982.0</v>
      </c>
      <c r="O881" s="23"/>
    </row>
    <row r="882">
      <c r="A882" s="16">
        <f t="shared" si="1"/>
        <v>881</v>
      </c>
      <c r="B882" s="17">
        <v>45985.0</v>
      </c>
      <c r="C882" s="70" t="s">
        <v>147</v>
      </c>
      <c r="D882" s="59" t="s">
        <v>1169</v>
      </c>
      <c r="H882" s="40" t="s">
        <v>27</v>
      </c>
      <c r="J882" s="24" t="s">
        <v>457</v>
      </c>
      <c r="K882" s="24" t="s">
        <v>992</v>
      </c>
      <c r="L882" s="23"/>
      <c r="M882" s="23"/>
      <c r="N882" s="17">
        <v>45986.0</v>
      </c>
      <c r="O882" s="23"/>
    </row>
    <row r="883">
      <c r="A883" s="16">
        <f t="shared" si="1"/>
        <v>882</v>
      </c>
      <c r="B883" s="17">
        <v>45986.0</v>
      </c>
      <c r="C883" s="70" t="s">
        <v>147</v>
      </c>
      <c r="D883" s="24" t="s">
        <v>1170</v>
      </c>
      <c r="H883" s="40" t="s">
        <v>27</v>
      </c>
      <c r="J883" s="24" t="s">
        <v>1151</v>
      </c>
      <c r="K883" s="24" t="s">
        <v>992</v>
      </c>
      <c r="L883" s="23"/>
      <c r="M883" s="23"/>
      <c r="N883" s="17">
        <v>45986.0</v>
      </c>
      <c r="O883" s="23"/>
    </row>
    <row r="884">
      <c r="A884" s="16">
        <f t="shared" si="1"/>
        <v>883</v>
      </c>
      <c r="B884" s="17">
        <v>45988.0</v>
      </c>
      <c r="C884" s="70" t="s">
        <v>147</v>
      </c>
      <c r="D884" s="24" t="s">
        <v>1171</v>
      </c>
      <c r="H884" s="40" t="s">
        <v>27</v>
      </c>
      <c r="J884" s="24" t="s">
        <v>1151</v>
      </c>
      <c r="K884" s="24" t="s">
        <v>992</v>
      </c>
      <c r="L884" s="23"/>
      <c r="M884" s="23"/>
      <c r="N884" s="17">
        <v>45989.0</v>
      </c>
      <c r="O884" s="23"/>
    </row>
    <row r="885">
      <c r="A885" s="16">
        <f t="shared" si="1"/>
        <v>884</v>
      </c>
      <c r="B885" s="17">
        <v>45988.0</v>
      </c>
      <c r="C885" s="18" t="s">
        <v>87</v>
      </c>
      <c r="D885" s="24" t="s">
        <v>1172</v>
      </c>
      <c r="H885" s="40" t="s">
        <v>27</v>
      </c>
      <c r="J885" s="24" t="s">
        <v>457</v>
      </c>
      <c r="K885" s="24" t="s">
        <v>1173</v>
      </c>
      <c r="L885" s="23"/>
      <c r="M885" s="23"/>
      <c r="N885" s="17">
        <v>45989.0</v>
      </c>
      <c r="O885" s="23"/>
    </row>
    <row r="886">
      <c r="A886" s="16">
        <f t="shared" si="1"/>
        <v>885</v>
      </c>
      <c r="B886" s="17">
        <v>45989.0</v>
      </c>
      <c r="C886" s="70" t="s">
        <v>147</v>
      </c>
      <c r="D886" s="59" t="s">
        <v>1174</v>
      </c>
      <c r="H886" s="40" t="s">
        <v>27</v>
      </c>
      <c r="J886" s="24" t="s">
        <v>457</v>
      </c>
      <c r="K886" s="24" t="s">
        <v>992</v>
      </c>
      <c r="L886" s="23"/>
      <c r="M886" s="23"/>
      <c r="N886" s="17">
        <v>45989.0</v>
      </c>
      <c r="O886" s="23"/>
    </row>
    <row r="887">
      <c r="A887" s="16">
        <f t="shared" si="1"/>
        <v>886</v>
      </c>
      <c r="B887" s="17">
        <v>45992.0</v>
      </c>
      <c r="C887" s="70" t="s">
        <v>87</v>
      </c>
      <c r="D887" s="59" t="s">
        <v>1175</v>
      </c>
      <c r="H887" s="40" t="s">
        <v>27</v>
      </c>
      <c r="J887" s="24" t="s">
        <v>457</v>
      </c>
      <c r="K887" s="24" t="s">
        <v>992</v>
      </c>
      <c r="L887" s="23"/>
      <c r="M887" s="23"/>
      <c r="N887" s="17">
        <v>45992.0</v>
      </c>
      <c r="O887" s="23"/>
    </row>
    <row r="888">
      <c r="A888" s="16">
        <f t="shared" si="1"/>
        <v>887</v>
      </c>
      <c r="B888" s="17">
        <v>45993.0</v>
      </c>
      <c r="C888" s="18" t="s">
        <v>752</v>
      </c>
      <c r="D888" s="24" t="s">
        <v>1176</v>
      </c>
      <c r="H888" s="40" t="s">
        <v>27</v>
      </c>
      <c r="J888" s="24" t="s">
        <v>457</v>
      </c>
      <c r="K888" s="24" t="s">
        <v>992</v>
      </c>
      <c r="L888" s="23"/>
      <c r="M888" s="23"/>
      <c r="N888" s="17">
        <v>45993.0</v>
      </c>
      <c r="O888" s="23"/>
    </row>
    <row r="889">
      <c r="A889" s="16">
        <f t="shared" si="1"/>
        <v>888</v>
      </c>
      <c r="B889" s="17">
        <v>45993.0</v>
      </c>
      <c r="C889" s="18" t="s">
        <v>752</v>
      </c>
      <c r="D889" s="24" t="s">
        <v>1177</v>
      </c>
      <c r="H889" s="40" t="s">
        <v>27</v>
      </c>
      <c r="J889" s="24" t="s">
        <v>457</v>
      </c>
      <c r="K889" s="24" t="s">
        <v>992</v>
      </c>
      <c r="L889" s="23"/>
      <c r="M889" s="23"/>
      <c r="N889" s="17">
        <v>45993.0</v>
      </c>
      <c r="O889" s="23"/>
    </row>
    <row r="890">
      <c r="A890" s="16">
        <f t="shared" si="1"/>
        <v>889</v>
      </c>
      <c r="B890" s="17">
        <v>45995.0</v>
      </c>
      <c r="C890" s="18" t="s">
        <v>87</v>
      </c>
      <c r="D890" s="24" t="s">
        <v>1178</v>
      </c>
      <c r="H890" s="40" t="s">
        <v>27</v>
      </c>
      <c r="J890" s="24" t="s">
        <v>457</v>
      </c>
      <c r="K890" s="24" t="s">
        <v>992</v>
      </c>
      <c r="L890" s="23"/>
      <c r="M890" s="23"/>
      <c r="N890" s="17">
        <v>45995.0</v>
      </c>
      <c r="O890" s="23"/>
    </row>
    <row r="891">
      <c r="A891" s="16">
        <f t="shared" si="1"/>
        <v>890</v>
      </c>
      <c r="B891" s="17">
        <v>45995.0</v>
      </c>
      <c r="C891" s="18" t="s">
        <v>752</v>
      </c>
      <c r="D891" s="24" t="s">
        <v>1179</v>
      </c>
      <c r="H891" s="40" t="s">
        <v>27</v>
      </c>
      <c r="J891" s="24" t="s">
        <v>457</v>
      </c>
      <c r="K891" s="24" t="s">
        <v>992</v>
      </c>
      <c r="L891" s="23"/>
      <c r="M891" s="23"/>
      <c r="N891" s="17">
        <v>45995.0</v>
      </c>
      <c r="O891" s="23"/>
    </row>
    <row r="892">
      <c r="A892" s="16">
        <f t="shared" si="1"/>
        <v>891</v>
      </c>
      <c r="B892" s="17">
        <v>45995.0</v>
      </c>
      <c r="C892" s="18" t="s">
        <v>490</v>
      </c>
      <c r="D892" s="24" t="s">
        <v>1180</v>
      </c>
      <c r="H892" s="40" t="s">
        <v>27</v>
      </c>
      <c r="J892" s="24" t="s">
        <v>457</v>
      </c>
      <c r="K892" s="24" t="s">
        <v>992</v>
      </c>
      <c r="L892" s="23"/>
      <c r="M892" s="23"/>
      <c r="N892" s="17">
        <v>45995.0</v>
      </c>
      <c r="O892" s="23"/>
    </row>
    <row r="893">
      <c r="A893" s="16">
        <f t="shared" si="1"/>
        <v>892</v>
      </c>
      <c r="B893" s="17">
        <v>45996.0</v>
      </c>
      <c r="C893" s="18" t="s">
        <v>110</v>
      </c>
      <c r="D893" s="24" t="s">
        <v>1181</v>
      </c>
      <c r="H893" s="40" t="s">
        <v>27</v>
      </c>
      <c r="J893" s="24" t="s">
        <v>457</v>
      </c>
      <c r="K893" s="24" t="s">
        <v>992</v>
      </c>
      <c r="L893" s="23"/>
      <c r="M893" s="23"/>
      <c r="N893" s="17">
        <v>45999.0</v>
      </c>
      <c r="O893" s="23"/>
    </row>
    <row r="894">
      <c r="A894" s="16">
        <f t="shared" si="1"/>
        <v>893</v>
      </c>
      <c r="B894" s="17">
        <v>45999.0</v>
      </c>
      <c r="C894" s="18" t="s">
        <v>87</v>
      </c>
      <c r="D894" s="24" t="s">
        <v>1182</v>
      </c>
      <c r="H894" s="40" t="s">
        <v>27</v>
      </c>
      <c r="J894" s="24" t="s">
        <v>457</v>
      </c>
      <c r="K894" s="24" t="s">
        <v>1183</v>
      </c>
      <c r="L894" s="23"/>
      <c r="M894" s="23"/>
      <c r="N894" s="17">
        <v>45999.0</v>
      </c>
      <c r="O894" s="23"/>
    </row>
    <row r="895">
      <c r="A895" s="16">
        <f t="shared" si="1"/>
        <v>894</v>
      </c>
      <c r="B895" s="17">
        <v>45999.0</v>
      </c>
      <c r="C895" s="18" t="s">
        <v>752</v>
      </c>
      <c r="D895" s="24" t="s">
        <v>1184</v>
      </c>
      <c r="H895" s="40" t="s">
        <v>27</v>
      </c>
      <c r="J895" s="24" t="s">
        <v>457</v>
      </c>
      <c r="K895" s="24" t="s">
        <v>992</v>
      </c>
      <c r="L895" s="23"/>
      <c r="M895" s="23"/>
      <c r="N895" s="17">
        <v>45999.0</v>
      </c>
      <c r="O895" s="23"/>
    </row>
    <row r="896">
      <c r="A896" s="16">
        <f t="shared" si="1"/>
        <v>895</v>
      </c>
      <c r="B896" s="17">
        <v>46002.0</v>
      </c>
      <c r="C896" s="18" t="s">
        <v>87</v>
      </c>
      <c r="D896" s="24" t="s">
        <v>1185</v>
      </c>
      <c r="H896" s="40" t="s">
        <v>27</v>
      </c>
      <c r="J896" s="24" t="s">
        <v>457</v>
      </c>
      <c r="K896" s="24" t="s">
        <v>1186</v>
      </c>
      <c r="L896" s="23"/>
      <c r="M896" s="23"/>
      <c r="N896" s="17">
        <v>46002.0</v>
      </c>
      <c r="O896" s="23"/>
    </row>
    <row r="897">
      <c r="A897" s="16">
        <f t="shared" si="1"/>
        <v>896</v>
      </c>
      <c r="B897" s="17">
        <v>46002.0</v>
      </c>
      <c r="C897" s="18" t="s">
        <v>87</v>
      </c>
      <c r="D897" s="24" t="s">
        <v>1187</v>
      </c>
      <c r="H897" s="40" t="s">
        <v>27</v>
      </c>
      <c r="J897" s="24" t="s">
        <v>457</v>
      </c>
      <c r="K897" s="24" t="s">
        <v>992</v>
      </c>
      <c r="L897" s="23"/>
      <c r="M897" s="23"/>
      <c r="N897" s="17">
        <v>46002.0</v>
      </c>
      <c r="O897" s="23"/>
    </row>
    <row r="898">
      <c r="A898" s="16">
        <f t="shared" si="1"/>
        <v>897</v>
      </c>
      <c r="B898" s="17">
        <v>46003.0</v>
      </c>
      <c r="C898" s="18" t="s">
        <v>1188</v>
      </c>
      <c r="D898" s="24" t="s">
        <v>1189</v>
      </c>
      <c r="H898" s="40" t="s">
        <v>27</v>
      </c>
      <c r="J898" s="24" t="s">
        <v>457</v>
      </c>
      <c r="K898" s="24" t="s">
        <v>992</v>
      </c>
      <c r="L898" s="23"/>
      <c r="M898" s="23"/>
      <c r="N898" s="17">
        <v>46003.0</v>
      </c>
      <c r="O898" s="23"/>
    </row>
    <row r="899">
      <c r="A899" s="16">
        <f t="shared" si="1"/>
        <v>898</v>
      </c>
      <c r="B899" s="17">
        <v>46003.0</v>
      </c>
      <c r="C899" s="18" t="s">
        <v>752</v>
      </c>
      <c r="D899" s="24" t="s">
        <v>1190</v>
      </c>
      <c r="H899" s="40" t="s">
        <v>27</v>
      </c>
      <c r="J899" s="24" t="s">
        <v>457</v>
      </c>
      <c r="K899" s="24" t="s">
        <v>992</v>
      </c>
      <c r="L899" s="23"/>
      <c r="M899" s="23"/>
      <c r="N899" s="17">
        <v>46003.0</v>
      </c>
      <c r="O899" s="23"/>
    </row>
    <row r="900">
      <c r="A900" s="16">
        <f t="shared" si="1"/>
        <v>899</v>
      </c>
      <c r="B900" s="17">
        <v>46003.0</v>
      </c>
      <c r="C900" s="18" t="s">
        <v>1188</v>
      </c>
      <c r="D900" s="24" t="s">
        <v>1191</v>
      </c>
      <c r="H900" s="40" t="s">
        <v>27</v>
      </c>
      <c r="J900" s="24" t="s">
        <v>457</v>
      </c>
      <c r="K900" s="24" t="s">
        <v>992</v>
      </c>
      <c r="L900" s="23"/>
      <c r="M900" s="23"/>
      <c r="N900" s="17">
        <v>46003.0</v>
      </c>
      <c r="O900" s="23"/>
    </row>
    <row r="901">
      <c r="A901" s="16">
        <f t="shared" si="1"/>
        <v>900</v>
      </c>
      <c r="B901" s="17">
        <v>46003.0</v>
      </c>
      <c r="C901" s="18" t="s">
        <v>1188</v>
      </c>
      <c r="D901" s="24" t="s">
        <v>1192</v>
      </c>
      <c r="H901" s="40" t="s">
        <v>27</v>
      </c>
      <c r="J901" s="24" t="s">
        <v>457</v>
      </c>
      <c r="K901" s="24" t="s">
        <v>992</v>
      </c>
      <c r="L901" s="23"/>
      <c r="M901" s="23"/>
      <c r="N901" s="17">
        <v>46003.0</v>
      </c>
      <c r="O901" s="23"/>
    </row>
    <row r="902">
      <c r="A902" s="16">
        <f t="shared" si="1"/>
        <v>901</v>
      </c>
      <c r="B902" s="17">
        <v>46010.0</v>
      </c>
      <c r="C902" s="18" t="s">
        <v>1188</v>
      </c>
      <c r="D902" s="24" t="s">
        <v>1193</v>
      </c>
      <c r="H902" s="40" t="s">
        <v>27</v>
      </c>
      <c r="J902" s="24" t="s">
        <v>415</v>
      </c>
      <c r="K902" s="24" t="s">
        <v>992</v>
      </c>
      <c r="L902" s="23"/>
      <c r="M902" s="23"/>
      <c r="N902" s="17">
        <v>46010.0</v>
      </c>
      <c r="O902" s="23"/>
    </row>
    <row r="903">
      <c r="A903" s="16">
        <f t="shared" si="1"/>
        <v>902</v>
      </c>
      <c r="B903" s="17">
        <v>46013.0</v>
      </c>
      <c r="C903" s="18" t="s">
        <v>1188</v>
      </c>
      <c r="D903" s="24" t="s">
        <v>1194</v>
      </c>
      <c r="H903" s="40" t="s">
        <v>27</v>
      </c>
      <c r="J903" s="24" t="s">
        <v>415</v>
      </c>
      <c r="K903" s="24" t="s">
        <v>992</v>
      </c>
      <c r="L903" s="23"/>
      <c r="M903" s="23"/>
      <c r="N903" s="17">
        <v>46013.0</v>
      </c>
      <c r="O903" s="23"/>
    </row>
    <row r="904">
      <c r="A904" s="16">
        <f t="shared" si="1"/>
        <v>903</v>
      </c>
      <c r="B904" s="17">
        <v>46014.0</v>
      </c>
      <c r="C904" s="18" t="s">
        <v>87</v>
      </c>
      <c r="D904" s="24" t="s">
        <v>1195</v>
      </c>
      <c r="H904" s="40" t="s">
        <v>27</v>
      </c>
      <c r="J904" s="24" t="s">
        <v>415</v>
      </c>
      <c r="K904" s="24" t="s">
        <v>992</v>
      </c>
      <c r="L904" s="23"/>
      <c r="M904" s="23"/>
      <c r="N904" s="17">
        <v>46014.0</v>
      </c>
      <c r="O904" s="23"/>
    </row>
    <row r="905">
      <c r="A905" s="16">
        <f t="shared" si="1"/>
        <v>904</v>
      </c>
      <c r="B905" s="17">
        <v>46015.0</v>
      </c>
      <c r="C905" s="18" t="s">
        <v>1188</v>
      </c>
      <c r="D905" s="24" t="s">
        <v>1196</v>
      </c>
      <c r="H905" s="40" t="s">
        <v>27</v>
      </c>
      <c r="J905" s="24" t="s">
        <v>415</v>
      </c>
      <c r="K905" s="24" t="s">
        <v>992</v>
      </c>
      <c r="L905" s="23"/>
      <c r="M905" s="23"/>
      <c r="N905" s="17">
        <v>46015.0</v>
      </c>
      <c r="O905" s="23"/>
    </row>
    <row r="906">
      <c r="A906" s="16">
        <f t="shared" si="1"/>
        <v>905</v>
      </c>
      <c r="B906" s="17">
        <v>46015.0</v>
      </c>
      <c r="C906" s="18" t="s">
        <v>110</v>
      </c>
      <c r="D906" s="24" t="s">
        <v>1197</v>
      </c>
      <c r="H906" s="40" t="s">
        <v>27</v>
      </c>
      <c r="J906" s="24" t="s">
        <v>419</v>
      </c>
      <c r="K906" s="24" t="s">
        <v>992</v>
      </c>
      <c r="L906" s="23"/>
      <c r="M906" s="23"/>
      <c r="N906" s="17">
        <v>46015.0</v>
      </c>
      <c r="O906" s="23"/>
    </row>
    <row r="907">
      <c r="A907" s="16">
        <f t="shared" si="1"/>
        <v>906</v>
      </c>
      <c r="B907" s="17">
        <v>46015.0</v>
      </c>
      <c r="C907" s="18" t="s">
        <v>110</v>
      </c>
      <c r="D907" s="24" t="s">
        <v>1198</v>
      </c>
      <c r="H907" s="40" t="s">
        <v>71</v>
      </c>
      <c r="J907" s="24" t="s">
        <v>419</v>
      </c>
      <c r="K907" s="24" t="s">
        <v>1199</v>
      </c>
      <c r="L907" s="23"/>
      <c r="M907" s="23"/>
      <c r="N907" s="23"/>
      <c r="O907" s="17">
        <v>46052.0</v>
      </c>
    </row>
    <row r="908">
      <c r="A908" s="16">
        <f t="shared" si="1"/>
        <v>907</v>
      </c>
      <c r="B908" s="17">
        <v>46020.0</v>
      </c>
      <c r="C908" s="18" t="s">
        <v>92</v>
      </c>
      <c r="D908" s="24" t="s">
        <v>1200</v>
      </c>
      <c r="H908" s="40" t="s">
        <v>27</v>
      </c>
      <c r="J908" s="24" t="s">
        <v>419</v>
      </c>
      <c r="K908" s="24" t="s">
        <v>992</v>
      </c>
      <c r="L908" s="23"/>
      <c r="M908" s="23"/>
      <c r="N908" s="17">
        <v>46020.0</v>
      </c>
      <c r="O908" s="23"/>
    </row>
    <row r="909">
      <c r="A909" s="16">
        <f t="shared" si="1"/>
        <v>908</v>
      </c>
      <c r="B909" s="17">
        <v>46021.0</v>
      </c>
      <c r="C909" s="18" t="s">
        <v>110</v>
      </c>
      <c r="D909" s="24" t="s">
        <v>1201</v>
      </c>
      <c r="H909" s="40" t="s">
        <v>27</v>
      </c>
      <c r="J909" s="24" t="s">
        <v>419</v>
      </c>
      <c r="K909" s="24" t="s">
        <v>992</v>
      </c>
      <c r="L909" s="23"/>
      <c r="M909" s="23"/>
      <c r="N909" s="17">
        <v>46021.0</v>
      </c>
      <c r="O909" s="23"/>
    </row>
    <row r="910">
      <c r="A910" s="16">
        <f t="shared" si="1"/>
        <v>909</v>
      </c>
      <c r="B910" s="17">
        <v>46024.0</v>
      </c>
      <c r="C910" s="18" t="s">
        <v>110</v>
      </c>
      <c r="D910" s="24" t="s">
        <v>1202</v>
      </c>
      <c r="H910" s="40" t="s">
        <v>27</v>
      </c>
      <c r="J910" s="24" t="s">
        <v>419</v>
      </c>
      <c r="K910" s="24" t="s">
        <v>992</v>
      </c>
      <c r="L910" s="23"/>
      <c r="M910" s="23"/>
      <c r="N910" s="17">
        <v>46024.0</v>
      </c>
      <c r="O910" s="23"/>
    </row>
    <row r="911">
      <c r="A911" s="16">
        <f t="shared" si="1"/>
        <v>910</v>
      </c>
      <c r="B911" s="17">
        <v>46028.0</v>
      </c>
      <c r="C911" s="18" t="s">
        <v>1188</v>
      </c>
      <c r="D911" s="24" t="s">
        <v>1203</v>
      </c>
      <c r="H911" s="40" t="s">
        <v>27</v>
      </c>
      <c r="J911" s="24" t="s">
        <v>457</v>
      </c>
      <c r="K911" s="24" t="s">
        <v>992</v>
      </c>
      <c r="L911" s="23"/>
      <c r="M911" s="23"/>
      <c r="N911" s="17">
        <v>46028.0</v>
      </c>
      <c r="O911" s="23"/>
    </row>
    <row r="912">
      <c r="A912" s="16">
        <f t="shared" si="1"/>
        <v>911</v>
      </c>
      <c r="B912" s="17">
        <v>46028.0</v>
      </c>
      <c r="C912" s="18" t="s">
        <v>110</v>
      </c>
      <c r="D912" s="24" t="s">
        <v>1204</v>
      </c>
      <c r="H912" s="40" t="s">
        <v>27</v>
      </c>
      <c r="J912" s="24" t="s">
        <v>1151</v>
      </c>
      <c r="K912" s="24" t="s">
        <v>992</v>
      </c>
      <c r="L912" s="23"/>
      <c r="M912" s="23"/>
      <c r="N912" s="17">
        <v>46028.0</v>
      </c>
      <c r="O912" s="23"/>
    </row>
    <row r="913">
      <c r="A913" s="16">
        <f t="shared" si="1"/>
        <v>912</v>
      </c>
      <c r="B913" s="17">
        <v>46029.0</v>
      </c>
      <c r="C913" s="18" t="s">
        <v>87</v>
      </c>
      <c r="D913" s="24" t="s">
        <v>1205</v>
      </c>
      <c r="H913" s="40" t="s">
        <v>27</v>
      </c>
      <c r="J913" s="24" t="s">
        <v>457</v>
      </c>
      <c r="K913" s="24" t="s">
        <v>1206</v>
      </c>
      <c r="L913" s="23"/>
      <c r="M913" s="23"/>
      <c r="N913" s="17">
        <v>46029.0</v>
      </c>
      <c r="O913" s="23"/>
    </row>
    <row r="914">
      <c r="A914" s="16">
        <f t="shared" si="1"/>
        <v>913</v>
      </c>
      <c r="B914" s="17">
        <v>46031.0</v>
      </c>
      <c r="C914" s="18" t="s">
        <v>110</v>
      </c>
      <c r="D914" s="24" t="s">
        <v>1207</v>
      </c>
      <c r="H914" s="40" t="s">
        <v>27</v>
      </c>
      <c r="J914" s="24" t="s">
        <v>1151</v>
      </c>
      <c r="K914" s="24" t="s">
        <v>992</v>
      </c>
      <c r="L914" s="23"/>
      <c r="M914" s="23"/>
      <c r="N914" s="17">
        <v>46031.0</v>
      </c>
      <c r="O914" s="23"/>
    </row>
    <row r="915">
      <c r="A915" s="16">
        <f t="shared" si="1"/>
        <v>914</v>
      </c>
      <c r="B915" s="17">
        <v>46034.0</v>
      </c>
      <c r="C915" s="18" t="s">
        <v>92</v>
      </c>
      <c r="D915" s="24" t="s">
        <v>1208</v>
      </c>
      <c r="H915" s="40" t="s">
        <v>27</v>
      </c>
      <c r="J915" s="24" t="s">
        <v>1151</v>
      </c>
      <c r="K915" s="24" t="s">
        <v>992</v>
      </c>
      <c r="L915" s="23"/>
      <c r="M915" s="23"/>
      <c r="N915" s="17">
        <v>46034.0</v>
      </c>
      <c r="O915" s="23"/>
    </row>
    <row r="916">
      <c r="A916" s="16">
        <f t="shared" si="1"/>
        <v>915</v>
      </c>
      <c r="B916" s="17">
        <v>46035.0</v>
      </c>
      <c r="C916" s="18" t="s">
        <v>87</v>
      </c>
      <c r="D916" s="24" t="s">
        <v>1209</v>
      </c>
      <c r="H916" s="40" t="s">
        <v>27</v>
      </c>
      <c r="J916" s="24" t="s">
        <v>457</v>
      </c>
      <c r="K916" s="24" t="s">
        <v>1210</v>
      </c>
      <c r="L916" s="23"/>
      <c r="M916" s="23"/>
      <c r="N916" s="17">
        <v>46035.0</v>
      </c>
      <c r="O916" s="23"/>
    </row>
    <row r="917">
      <c r="A917" s="16">
        <f t="shared" si="1"/>
        <v>916</v>
      </c>
      <c r="B917" s="17">
        <v>46036.0</v>
      </c>
      <c r="C917" s="18" t="s">
        <v>1188</v>
      </c>
      <c r="D917" s="24" t="s">
        <v>1211</v>
      </c>
      <c r="H917" s="40" t="s">
        <v>27</v>
      </c>
      <c r="J917" s="24" t="s">
        <v>415</v>
      </c>
      <c r="K917" s="24" t="s">
        <v>992</v>
      </c>
      <c r="L917" s="23"/>
      <c r="M917" s="23"/>
      <c r="N917" s="17">
        <v>46036.0</v>
      </c>
      <c r="O917" s="23"/>
    </row>
    <row r="918">
      <c r="A918" s="16">
        <f t="shared" si="1"/>
        <v>917</v>
      </c>
      <c r="B918" s="17">
        <v>46037.0</v>
      </c>
      <c r="C918" s="18" t="s">
        <v>1188</v>
      </c>
      <c r="D918" s="24" t="s">
        <v>1212</v>
      </c>
      <c r="H918" s="40" t="s">
        <v>27</v>
      </c>
      <c r="J918" s="24" t="s">
        <v>457</v>
      </c>
      <c r="K918" s="24" t="s">
        <v>992</v>
      </c>
      <c r="L918" s="23"/>
      <c r="M918" s="23"/>
      <c r="N918" s="17">
        <v>46037.0</v>
      </c>
      <c r="O918" s="23"/>
    </row>
    <row r="919">
      <c r="A919" s="16">
        <f t="shared" si="1"/>
        <v>918</v>
      </c>
      <c r="B919" s="17">
        <v>46042.0</v>
      </c>
      <c r="C919" s="18" t="s">
        <v>92</v>
      </c>
      <c r="D919" s="24" t="s">
        <v>1213</v>
      </c>
      <c r="H919" s="40" t="s">
        <v>27</v>
      </c>
      <c r="J919" s="24" t="s">
        <v>1151</v>
      </c>
      <c r="K919" s="24" t="s">
        <v>992</v>
      </c>
      <c r="L919" s="23"/>
      <c r="M919" s="23"/>
      <c r="N919" s="17">
        <v>46042.0</v>
      </c>
      <c r="O919" s="23"/>
    </row>
    <row r="920">
      <c r="A920" s="16">
        <f t="shared" si="1"/>
        <v>919</v>
      </c>
      <c r="B920" s="17">
        <v>46042.0</v>
      </c>
      <c r="C920" s="18" t="s">
        <v>1188</v>
      </c>
      <c r="D920" s="24" t="s">
        <v>1214</v>
      </c>
      <c r="H920" s="40" t="s">
        <v>27</v>
      </c>
      <c r="J920" s="24" t="s">
        <v>457</v>
      </c>
      <c r="K920" s="24" t="s">
        <v>992</v>
      </c>
      <c r="L920" s="23"/>
      <c r="M920" s="23"/>
      <c r="N920" s="17">
        <v>46042.0</v>
      </c>
      <c r="O920" s="23"/>
    </row>
    <row r="921">
      <c r="A921" s="16">
        <f t="shared" si="1"/>
        <v>920</v>
      </c>
      <c r="B921" s="17">
        <v>46043.0</v>
      </c>
      <c r="C921" s="18" t="s">
        <v>1188</v>
      </c>
      <c r="D921" s="24" t="s">
        <v>1215</v>
      </c>
      <c r="H921" s="40" t="s">
        <v>27</v>
      </c>
      <c r="J921" s="24" t="s">
        <v>457</v>
      </c>
      <c r="K921" s="24" t="s">
        <v>992</v>
      </c>
      <c r="L921" s="23"/>
      <c r="M921" s="23"/>
      <c r="N921" s="17">
        <v>46043.0</v>
      </c>
      <c r="O921" s="23"/>
    </row>
    <row r="922">
      <c r="A922" s="16">
        <f t="shared" si="1"/>
        <v>921</v>
      </c>
      <c r="B922" s="17">
        <v>46043.0</v>
      </c>
      <c r="C922" s="18" t="s">
        <v>1188</v>
      </c>
      <c r="D922" s="24" t="s">
        <v>1216</v>
      </c>
      <c r="H922" s="40" t="s">
        <v>27</v>
      </c>
      <c r="J922" s="24" t="s">
        <v>457</v>
      </c>
      <c r="K922" s="24" t="s">
        <v>992</v>
      </c>
      <c r="L922" s="23"/>
      <c r="M922" s="23"/>
      <c r="N922" s="17">
        <v>46043.0</v>
      </c>
      <c r="O922" s="23"/>
    </row>
    <row r="923">
      <c r="A923" s="16">
        <f t="shared" si="1"/>
        <v>922</v>
      </c>
      <c r="B923" s="17">
        <v>46043.0</v>
      </c>
      <c r="C923" s="18" t="s">
        <v>1188</v>
      </c>
      <c r="D923" s="24" t="s">
        <v>1217</v>
      </c>
      <c r="H923" s="40" t="s">
        <v>27</v>
      </c>
      <c r="J923" s="24" t="s">
        <v>457</v>
      </c>
      <c r="K923" s="24" t="s">
        <v>992</v>
      </c>
      <c r="L923" s="23"/>
      <c r="M923" s="23"/>
      <c r="N923" s="17">
        <v>46043.0</v>
      </c>
      <c r="O923" s="23"/>
    </row>
    <row r="924">
      <c r="A924" s="16">
        <f t="shared" si="1"/>
        <v>923</v>
      </c>
      <c r="B924" s="17">
        <v>46048.0</v>
      </c>
      <c r="C924" s="18" t="s">
        <v>1188</v>
      </c>
      <c r="D924" s="24" t="s">
        <v>1218</v>
      </c>
      <c r="H924" s="40" t="s">
        <v>27</v>
      </c>
      <c r="J924" s="24" t="s">
        <v>457</v>
      </c>
      <c r="K924" s="24" t="s">
        <v>992</v>
      </c>
      <c r="L924" s="23"/>
      <c r="M924" s="23"/>
      <c r="N924" s="17">
        <v>46048.0</v>
      </c>
      <c r="O924" s="23"/>
    </row>
    <row r="925">
      <c r="A925" s="16">
        <f t="shared" si="1"/>
        <v>924</v>
      </c>
      <c r="B925" s="17">
        <v>46048.0</v>
      </c>
      <c r="C925" s="18" t="s">
        <v>1188</v>
      </c>
      <c r="D925" s="24" t="s">
        <v>1219</v>
      </c>
      <c r="H925" s="40" t="s">
        <v>27</v>
      </c>
      <c r="J925" s="24" t="s">
        <v>457</v>
      </c>
      <c r="K925" s="24" t="s">
        <v>992</v>
      </c>
      <c r="L925" s="23"/>
      <c r="M925" s="23"/>
      <c r="N925" s="17">
        <v>46048.0</v>
      </c>
      <c r="O925" s="23"/>
    </row>
    <row r="926">
      <c r="A926" s="16">
        <f t="shared" si="1"/>
        <v>925</v>
      </c>
      <c r="B926" s="17">
        <v>46049.0</v>
      </c>
      <c r="C926" s="18" t="s">
        <v>1188</v>
      </c>
      <c r="D926" s="24" t="s">
        <v>1220</v>
      </c>
      <c r="H926" s="40" t="s">
        <v>27</v>
      </c>
      <c r="J926" s="24" t="s">
        <v>415</v>
      </c>
      <c r="K926" s="24" t="s">
        <v>992</v>
      </c>
      <c r="L926" s="23"/>
      <c r="M926" s="23"/>
      <c r="N926" s="17">
        <v>46049.0</v>
      </c>
      <c r="O926" s="23"/>
    </row>
    <row r="927">
      <c r="A927" s="16">
        <f t="shared" si="1"/>
        <v>926</v>
      </c>
      <c r="B927" s="17">
        <v>46049.0</v>
      </c>
      <c r="C927" s="18" t="s">
        <v>1188</v>
      </c>
      <c r="D927" s="24" t="s">
        <v>1221</v>
      </c>
      <c r="H927" s="40" t="s">
        <v>27</v>
      </c>
      <c r="J927" s="24" t="s">
        <v>415</v>
      </c>
      <c r="K927" s="24" t="s">
        <v>992</v>
      </c>
      <c r="L927" s="23"/>
      <c r="M927" s="23"/>
      <c r="N927" s="17">
        <v>46049.0</v>
      </c>
      <c r="O927" s="23"/>
    </row>
    <row r="928">
      <c r="A928" s="16">
        <f t="shared" si="1"/>
        <v>927</v>
      </c>
      <c r="B928" s="17">
        <v>46049.0</v>
      </c>
      <c r="C928" s="70" t="s">
        <v>147</v>
      </c>
      <c r="D928" s="24" t="s">
        <v>1222</v>
      </c>
      <c r="H928" s="40" t="s">
        <v>27</v>
      </c>
      <c r="J928" s="24" t="s">
        <v>415</v>
      </c>
      <c r="K928" s="24" t="s">
        <v>992</v>
      </c>
      <c r="L928" s="23"/>
      <c r="M928" s="23"/>
      <c r="N928" s="17">
        <v>46049.0</v>
      </c>
      <c r="O928" s="23"/>
    </row>
    <row r="929">
      <c r="A929" s="16">
        <f t="shared" si="1"/>
        <v>928</v>
      </c>
      <c r="B929" s="17">
        <v>46050.0</v>
      </c>
      <c r="C929" s="18" t="s">
        <v>1188</v>
      </c>
      <c r="D929" s="24" t="s">
        <v>1223</v>
      </c>
      <c r="H929" s="40" t="s">
        <v>27</v>
      </c>
      <c r="J929" s="24" t="s">
        <v>457</v>
      </c>
      <c r="K929" s="24" t="s">
        <v>992</v>
      </c>
      <c r="L929" s="23"/>
      <c r="M929" s="23"/>
      <c r="N929" s="17">
        <v>46050.0</v>
      </c>
      <c r="O929" s="23"/>
    </row>
    <row r="930">
      <c r="A930" s="16">
        <f t="shared" si="1"/>
        <v>929</v>
      </c>
      <c r="B930" s="17">
        <v>46051.0</v>
      </c>
      <c r="C930" s="18" t="s">
        <v>1188</v>
      </c>
      <c r="D930" s="24" t="s">
        <v>1224</v>
      </c>
      <c r="H930" s="40" t="s">
        <v>27</v>
      </c>
      <c r="J930" s="24" t="s">
        <v>457</v>
      </c>
      <c r="K930" s="24" t="s">
        <v>992</v>
      </c>
      <c r="L930" s="23"/>
      <c r="M930" s="23"/>
      <c r="N930" s="17">
        <v>46051.0</v>
      </c>
      <c r="O930" s="23"/>
    </row>
    <row r="931">
      <c r="A931" s="16">
        <f t="shared" si="1"/>
        <v>930</v>
      </c>
      <c r="B931" s="17">
        <v>46057.0</v>
      </c>
      <c r="C931" s="18" t="s">
        <v>87</v>
      </c>
      <c r="D931" s="24" t="s">
        <v>1225</v>
      </c>
      <c r="H931" s="40" t="s">
        <v>27</v>
      </c>
      <c r="J931" s="24" t="s">
        <v>1151</v>
      </c>
      <c r="K931" s="24" t="s">
        <v>992</v>
      </c>
      <c r="L931" s="23"/>
      <c r="M931" s="23"/>
      <c r="N931" s="17">
        <v>46057.0</v>
      </c>
      <c r="O931" s="23"/>
    </row>
    <row r="932">
      <c r="A932" s="16">
        <f t="shared" si="1"/>
        <v>931</v>
      </c>
      <c r="B932" s="17">
        <v>46058.0</v>
      </c>
      <c r="C932" s="18" t="s">
        <v>1188</v>
      </c>
      <c r="D932" s="24" t="s">
        <v>1226</v>
      </c>
      <c r="H932" s="40" t="s">
        <v>27</v>
      </c>
      <c r="J932" s="24" t="s">
        <v>457</v>
      </c>
      <c r="K932" s="24" t="s">
        <v>992</v>
      </c>
      <c r="L932" s="23"/>
      <c r="M932" s="23"/>
      <c r="N932" s="17">
        <v>46058.0</v>
      </c>
      <c r="O932" s="23"/>
    </row>
    <row r="933">
      <c r="A933" s="16">
        <f t="shared" si="1"/>
        <v>932</v>
      </c>
      <c r="B933" s="17">
        <v>46059.0</v>
      </c>
      <c r="C933" s="18" t="s">
        <v>110</v>
      </c>
      <c r="D933" s="24" t="s">
        <v>1227</v>
      </c>
      <c r="H933" s="40" t="s">
        <v>27</v>
      </c>
      <c r="J933" s="24" t="s">
        <v>419</v>
      </c>
      <c r="K933" s="24" t="s">
        <v>992</v>
      </c>
      <c r="L933" s="23"/>
      <c r="M933" s="23"/>
      <c r="N933" s="17">
        <v>46059.0</v>
      </c>
      <c r="O933" s="23"/>
    </row>
    <row r="934">
      <c r="A934" s="16">
        <f t="shared" si="1"/>
        <v>933</v>
      </c>
      <c r="B934" s="17">
        <v>46062.0</v>
      </c>
      <c r="C934" s="18" t="s">
        <v>87</v>
      </c>
      <c r="D934" s="24" t="s">
        <v>1228</v>
      </c>
      <c r="H934" s="40" t="s">
        <v>71</v>
      </c>
      <c r="J934" s="24" t="s">
        <v>419</v>
      </c>
      <c r="K934" s="22"/>
      <c r="L934" s="23"/>
      <c r="M934" s="23"/>
      <c r="N934" s="17"/>
      <c r="O934" s="17">
        <v>46064.0</v>
      </c>
    </row>
    <row r="935">
      <c r="A935" s="16">
        <f t="shared" si="1"/>
        <v>934</v>
      </c>
      <c r="B935" s="17">
        <v>46063.0</v>
      </c>
      <c r="C935" s="18" t="s">
        <v>110</v>
      </c>
      <c r="D935" s="24" t="s">
        <v>1229</v>
      </c>
      <c r="H935" s="40" t="s">
        <v>27</v>
      </c>
      <c r="J935" s="24" t="s">
        <v>457</v>
      </c>
      <c r="K935" s="24" t="s">
        <v>992</v>
      </c>
      <c r="L935" s="23"/>
      <c r="M935" s="23"/>
      <c r="N935" s="17">
        <v>46063.0</v>
      </c>
      <c r="O935" s="23"/>
    </row>
    <row r="936">
      <c r="A936" s="16">
        <f t="shared" si="1"/>
        <v>935</v>
      </c>
      <c r="B936" s="17">
        <v>46064.0</v>
      </c>
      <c r="C936" s="18" t="s">
        <v>92</v>
      </c>
      <c r="D936" s="24" t="s">
        <v>1230</v>
      </c>
      <c r="H936" s="40" t="s">
        <v>27</v>
      </c>
      <c r="J936" s="24" t="s">
        <v>419</v>
      </c>
      <c r="K936" s="24" t="s">
        <v>992</v>
      </c>
      <c r="L936" s="23"/>
      <c r="M936" s="23"/>
      <c r="N936" s="17">
        <v>46064.0</v>
      </c>
      <c r="O936" s="23"/>
    </row>
    <row r="937">
      <c r="A937" s="16">
        <f t="shared" si="1"/>
        <v>936</v>
      </c>
      <c r="B937" s="17">
        <v>46065.0</v>
      </c>
      <c r="C937" s="18" t="s">
        <v>1188</v>
      </c>
      <c r="D937" s="24" t="s">
        <v>1231</v>
      </c>
      <c r="H937" s="40" t="s">
        <v>27</v>
      </c>
      <c r="J937" s="24" t="s">
        <v>457</v>
      </c>
      <c r="K937" s="24" t="s">
        <v>992</v>
      </c>
      <c r="L937" s="23"/>
      <c r="M937" s="23"/>
      <c r="N937" s="17">
        <v>46065.0</v>
      </c>
      <c r="O937" s="23"/>
    </row>
    <row r="938">
      <c r="A938" s="16">
        <f t="shared" si="1"/>
        <v>937</v>
      </c>
      <c r="B938" s="17">
        <v>46065.0</v>
      </c>
      <c r="C938" s="18" t="s">
        <v>1188</v>
      </c>
      <c r="D938" s="24" t="s">
        <v>1232</v>
      </c>
      <c r="H938" s="40" t="s">
        <v>27</v>
      </c>
      <c r="J938" s="24" t="s">
        <v>415</v>
      </c>
      <c r="K938" s="24" t="s">
        <v>992</v>
      </c>
      <c r="L938" s="23"/>
      <c r="M938" s="23"/>
      <c r="N938" s="17">
        <v>46065.0</v>
      </c>
      <c r="O938" s="23"/>
    </row>
    <row r="939">
      <c r="A939" s="16">
        <f t="shared" si="1"/>
        <v>938</v>
      </c>
      <c r="B939" s="17">
        <v>46066.0</v>
      </c>
      <c r="C939" s="18" t="s">
        <v>87</v>
      </c>
      <c r="D939" s="24" t="s">
        <v>1233</v>
      </c>
      <c r="H939" s="40" t="s">
        <v>27</v>
      </c>
      <c r="J939" s="24" t="s">
        <v>1151</v>
      </c>
      <c r="K939" s="24" t="s">
        <v>992</v>
      </c>
      <c r="L939" s="23"/>
      <c r="M939" s="23"/>
      <c r="N939" s="17">
        <v>46066.0</v>
      </c>
      <c r="O939" s="23"/>
    </row>
    <row r="940">
      <c r="A940" s="16">
        <f t="shared" si="1"/>
        <v>939</v>
      </c>
      <c r="B940" s="17">
        <v>46077.0</v>
      </c>
      <c r="C940" s="18" t="s">
        <v>87</v>
      </c>
      <c r="D940" s="59" t="s">
        <v>1234</v>
      </c>
      <c r="H940" s="40" t="s">
        <v>27</v>
      </c>
      <c r="J940" s="24" t="s">
        <v>457</v>
      </c>
      <c r="K940" s="24" t="s">
        <v>992</v>
      </c>
      <c r="L940" s="23"/>
      <c r="M940" s="23"/>
      <c r="N940" s="17">
        <v>46077.0</v>
      </c>
      <c r="O940" s="23"/>
    </row>
    <row r="941">
      <c r="A941" s="16">
        <f t="shared" si="1"/>
        <v>940</v>
      </c>
      <c r="B941" s="17">
        <v>46079.0</v>
      </c>
      <c r="C941" s="18" t="s">
        <v>110</v>
      </c>
      <c r="D941" s="24" t="s">
        <v>1235</v>
      </c>
      <c r="H941" s="40" t="s">
        <v>27</v>
      </c>
      <c r="J941" s="24" t="s">
        <v>457</v>
      </c>
      <c r="K941" s="24" t="s">
        <v>992</v>
      </c>
      <c r="L941" s="23"/>
      <c r="M941" s="23"/>
      <c r="N941" s="17">
        <v>46079.0</v>
      </c>
      <c r="O941" s="23"/>
    </row>
    <row r="942">
      <c r="A942" s="16">
        <f t="shared" si="1"/>
        <v>941</v>
      </c>
      <c r="B942" s="17">
        <v>46083.0</v>
      </c>
      <c r="C942" s="18" t="s">
        <v>87</v>
      </c>
      <c r="D942" s="24" t="s">
        <v>1236</v>
      </c>
      <c r="H942" s="40" t="s">
        <v>27</v>
      </c>
      <c r="J942" s="24" t="s">
        <v>457</v>
      </c>
      <c r="K942" s="24" t="s">
        <v>1237</v>
      </c>
      <c r="L942" s="23"/>
      <c r="M942" s="23"/>
      <c r="N942" s="17">
        <v>46083.0</v>
      </c>
      <c r="O942" s="23"/>
    </row>
    <row r="943">
      <c r="A943" s="16">
        <f t="shared" si="1"/>
        <v>942</v>
      </c>
      <c r="B943" s="17">
        <v>46083.0</v>
      </c>
      <c r="C943" s="18" t="s">
        <v>1188</v>
      </c>
      <c r="D943" s="24" t="s">
        <v>1238</v>
      </c>
      <c r="H943" s="40" t="s">
        <v>27</v>
      </c>
      <c r="J943" s="24" t="s">
        <v>457</v>
      </c>
      <c r="K943" s="24" t="s">
        <v>992</v>
      </c>
      <c r="L943" s="23"/>
      <c r="M943" s="23"/>
      <c r="N943" s="17">
        <v>46083.0</v>
      </c>
      <c r="O943" s="23"/>
    </row>
    <row r="944">
      <c r="A944" s="16">
        <f t="shared" si="1"/>
        <v>943</v>
      </c>
      <c r="B944" s="17">
        <v>46085.0</v>
      </c>
      <c r="C944" s="70" t="s">
        <v>147</v>
      </c>
      <c r="D944" s="59" t="s">
        <v>1239</v>
      </c>
      <c r="H944" s="40" t="s">
        <v>27</v>
      </c>
      <c r="J944" s="24" t="s">
        <v>457</v>
      </c>
      <c r="K944" s="24" t="s">
        <v>992</v>
      </c>
      <c r="L944" s="23"/>
      <c r="M944" s="23"/>
      <c r="N944" s="17">
        <v>46085.0</v>
      </c>
      <c r="O944" s="23"/>
    </row>
    <row r="945">
      <c r="A945" s="16">
        <f t="shared" si="1"/>
        <v>944</v>
      </c>
      <c r="B945" s="17">
        <v>46085.0</v>
      </c>
      <c r="C945" s="18" t="s">
        <v>1188</v>
      </c>
      <c r="D945" s="24" t="s">
        <v>1240</v>
      </c>
      <c r="H945" s="40" t="s">
        <v>27</v>
      </c>
      <c r="J945" s="24" t="s">
        <v>415</v>
      </c>
      <c r="K945" s="24" t="s">
        <v>992</v>
      </c>
      <c r="L945" s="23"/>
      <c r="M945" s="23"/>
      <c r="N945" s="17">
        <v>46085.0</v>
      </c>
      <c r="O945" s="23"/>
    </row>
    <row r="946">
      <c r="A946" s="16">
        <f t="shared" si="1"/>
        <v>945</v>
      </c>
      <c r="B946" s="17">
        <v>46092.0</v>
      </c>
      <c r="C946" s="18" t="s">
        <v>1188</v>
      </c>
      <c r="D946" s="24" t="s">
        <v>1241</v>
      </c>
      <c r="H946" s="40" t="s">
        <v>27</v>
      </c>
      <c r="J946" s="24" t="s">
        <v>457</v>
      </c>
      <c r="K946" s="24" t="s">
        <v>992</v>
      </c>
      <c r="L946" s="23"/>
      <c r="M946" s="23"/>
      <c r="N946" s="17">
        <v>46092.0</v>
      </c>
      <c r="O946" s="23"/>
    </row>
    <row r="947">
      <c r="A947" s="16">
        <f t="shared" si="1"/>
        <v>946</v>
      </c>
      <c r="B947" s="17">
        <v>46093.0</v>
      </c>
      <c r="C947" s="18" t="s">
        <v>1188</v>
      </c>
      <c r="D947" s="24" t="s">
        <v>1242</v>
      </c>
      <c r="H947" s="40" t="s">
        <v>27</v>
      </c>
      <c r="J947" s="24" t="s">
        <v>457</v>
      </c>
      <c r="K947" s="24" t="s">
        <v>992</v>
      </c>
      <c r="L947" s="23"/>
      <c r="M947" s="23"/>
      <c r="N947" s="17">
        <v>46093.0</v>
      </c>
      <c r="O947" s="23"/>
    </row>
    <row r="948">
      <c r="A948" s="16">
        <f t="shared" si="1"/>
        <v>947</v>
      </c>
      <c r="B948" s="17">
        <v>46093.0</v>
      </c>
      <c r="C948" s="18" t="s">
        <v>490</v>
      </c>
      <c r="D948" s="24" t="s">
        <v>1243</v>
      </c>
      <c r="H948" s="40" t="s">
        <v>27</v>
      </c>
      <c r="J948" s="24" t="s">
        <v>457</v>
      </c>
      <c r="K948" s="24" t="s">
        <v>992</v>
      </c>
      <c r="L948" s="23"/>
      <c r="M948" s="23"/>
      <c r="N948" s="17">
        <v>46093.0</v>
      </c>
      <c r="O948" s="23"/>
    </row>
    <row r="949">
      <c r="A949" s="16">
        <f t="shared" si="1"/>
        <v>948</v>
      </c>
      <c r="B949" s="17">
        <v>46098.0</v>
      </c>
      <c r="C949" s="18" t="s">
        <v>110</v>
      </c>
      <c r="D949" s="24" t="s">
        <v>1244</v>
      </c>
      <c r="H949" s="40" t="s">
        <v>27</v>
      </c>
      <c r="J949" s="24" t="s">
        <v>1151</v>
      </c>
      <c r="K949" s="24" t="s">
        <v>992</v>
      </c>
      <c r="L949" s="23"/>
      <c r="M949" s="23"/>
      <c r="N949" s="17">
        <v>46098.0</v>
      </c>
      <c r="O949" s="23"/>
    </row>
    <row r="950">
      <c r="A950" s="16">
        <f t="shared" si="1"/>
        <v>949</v>
      </c>
      <c r="B950" s="17">
        <v>46100.0</v>
      </c>
      <c r="C950" s="18" t="s">
        <v>92</v>
      </c>
      <c r="D950" s="24" t="s">
        <v>1245</v>
      </c>
      <c r="H950" s="40" t="s">
        <v>27</v>
      </c>
      <c r="J950" s="24" t="s">
        <v>1151</v>
      </c>
      <c r="K950" s="24" t="s">
        <v>992</v>
      </c>
      <c r="L950" s="23"/>
      <c r="M950" s="23"/>
      <c r="N950" s="17">
        <v>46100.0</v>
      </c>
      <c r="O950" s="23"/>
    </row>
    <row r="951">
      <c r="A951" s="16">
        <f t="shared" si="1"/>
        <v>950</v>
      </c>
      <c r="B951" s="17">
        <v>46100.0</v>
      </c>
      <c r="C951" s="18" t="s">
        <v>1188</v>
      </c>
      <c r="D951" s="24" t="s">
        <v>1246</v>
      </c>
      <c r="H951" s="40" t="s">
        <v>27</v>
      </c>
      <c r="J951" s="24" t="s">
        <v>415</v>
      </c>
      <c r="K951" s="24" t="s">
        <v>992</v>
      </c>
      <c r="L951" s="23"/>
      <c r="M951" s="23"/>
      <c r="N951" s="17">
        <v>46101.0</v>
      </c>
      <c r="O951" s="23"/>
    </row>
    <row r="952">
      <c r="A952" s="16">
        <f t="shared" si="1"/>
        <v>951</v>
      </c>
      <c r="B952" s="17">
        <v>46101.0</v>
      </c>
      <c r="C952" s="18" t="s">
        <v>1188</v>
      </c>
      <c r="D952" s="24" t="s">
        <v>1247</v>
      </c>
      <c r="H952" s="40" t="s">
        <v>27</v>
      </c>
      <c r="J952" s="24" t="s">
        <v>457</v>
      </c>
      <c r="K952" s="24" t="s">
        <v>992</v>
      </c>
      <c r="L952" s="23"/>
      <c r="M952" s="23"/>
      <c r="N952" s="17">
        <v>46101.0</v>
      </c>
      <c r="O952" s="23"/>
    </row>
    <row r="953">
      <c r="A953" s="16">
        <f t="shared" si="1"/>
        <v>952</v>
      </c>
      <c r="B953" s="17">
        <v>46105.0</v>
      </c>
      <c r="C953" s="18" t="s">
        <v>87</v>
      </c>
      <c r="D953" s="24" t="s">
        <v>1248</v>
      </c>
      <c r="H953" s="40" t="s">
        <v>27</v>
      </c>
      <c r="J953" s="24" t="s">
        <v>1151</v>
      </c>
      <c r="K953" s="24" t="s">
        <v>992</v>
      </c>
      <c r="L953" s="23"/>
      <c r="M953" s="23"/>
      <c r="N953" s="17">
        <v>46105.0</v>
      </c>
      <c r="O953" s="23"/>
    </row>
    <row r="954">
      <c r="A954" s="16">
        <f t="shared" si="1"/>
        <v>953</v>
      </c>
      <c r="B954" s="17">
        <v>46105.0</v>
      </c>
      <c r="C954" s="18" t="s">
        <v>92</v>
      </c>
      <c r="D954" s="24" t="s">
        <v>1249</v>
      </c>
      <c r="H954" s="40" t="s">
        <v>298</v>
      </c>
      <c r="J954" s="22"/>
      <c r="K954" s="22"/>
      <c r="L954" s="23"/>
      <c r="M954" s="23"/>
      <c r="N954" s="23"/>
      <c r="O954" s="23"/>
    </row>
    <row r="955">
      <c r="A955" s="16">
        <f t="shared" si="1"/>
        <v>954</v>
      </c>
      <c r="B955" s="17">
        <v>46106.0</v>
      </c>
      <c r="C955" s="18" t="s">
        <v>87</v>
      </c>
      <c r="D955" s="24" t="s">
        <v>1250</v>
      </c>
      <c r="H955" s="40" t="s">
        <v>27</v>
      </c>
      <c r="J955" s="24" t="s">
        <v>1151</v>
      </c>
      <c r="K955" s="24" t="s">
        <v>992</v>
      </c>
      <c r="L955" s="23"/>
      <c r="M955" s="23"/>
      <c r="N955" s="17">
        <v>46106.0</v>
      </c>
      <c r="O955" s="23"/>
    </row>
    <row r="956">
      <c r="A956" s="16">
        <f t="shared" si="1"/>
        <v>955</v>
      </c>
      <c r="B956" s="17">
        <v>46107.0</v>
      </c>
      <c r="C956" s="18" t="s">
        <v>92</v>
      </c>
      <c r="D956" s="24" t="s">
        <v>1251</v>
      </c>
      <c r="H956" s="40" t="s">
        <v>27</v>
      </c>
      <c r="J956" s="24" t="s">
        <v>457</v>
      </c>
      <c r="K956" s="24" t="s">
        <v>992</v>
      </c>
      <c r="L956" s="23"/>
      <c r="M956" s="23"/>
      <c r="N956" s="17">
        <v>46107.0</v>
      </c>
      <c r="O956" s="23"/>
    </row>
    <row r="957">
      <c r="A957" s="16">
        <f t="shared" si="1"/>
        <v>956</v>
      </c>
      <c r="B957" s="17">
        <v>46107.0</v>
      </c>
      <c r="C957" s="18" t="s">
        <v>87</v>
      </c>
      <c r="D957" s="24" t="s">
        <v>1252</v>
      </c>
      <c r="H957" s="40" t="s">
        <v>27</v>
      </c>
      <c r="J957" s="24" t="s">
        <v>457</v>
      </c>
      <c r="K957" s="24" t="s">
        <v>1253</v>
      </c>
      <c r="L957" s="23"/>
      <c r="M957" s="23"/>
      <c r="N957" s="17">
        <v>46107.0</v>
      </c>
      <c r="O957" s="23"/>
    </row>
    <row r="958">
      <c r="A958" s="16">
        <f t="shared" si="1"/>
        <v>957</v>
      </c>
      <c r="B958" s="17">
        <v>46107.0</v>
      </c>
      <c r="C958" s="18" t="s">
        <v>1188</v>
      </c>
      <c r="D958" s="24" t="s">
        <v>1254</v>
      </c>
      <c r="H958" s="40" t="s">
        <v>27</v>
      </c>
      <c r="J958" s="24" t="s">
        <v>457</v>
      </c>
      <c r="K958" s="24" t="s">
        <v>992</v>
      </c>
      <c r="L958" s="23"/>
      <c r="M958" s="23"/>
      <c r="N958" s="17">
        <v>46107.0</v>
      </c>
      <c r="O958" s="23"/>
    </row>
    <row r="959">
      <c r="A959" s="16">
        <f t="shared" si="1"/>
        <v>958</v>
      </c>
      <c r="B959" s="17">
        <v>46108.0</v>
      </c>
      <c r="C959" s="18" t="s">
        <v>87</v>
      </c>
      <c r="D959" s="24" t="s">
        <v>1255</v>
      </c>
      <c r="H959" s="40" t="s">
        <v>27</v>
      </c>
      <c r="J959" s="24" t="s">
        <v>457</v>
      </c>
      <c r="K959" s="24" t="s">
        <v>992</v>
      </c>
      <c r="L959" s="23"/>
      <c r="M959" s="23"/>
      <c r="N959" s="17">
        <v>46108.0</v>
      </c>
      <c r="O959" s="23"/>
    </row>
    <row r="960">
      <c r="A960" s="16">
        <f t="shared" si="1"/>
        <v>959</v>
      </c>
      <c r="B960" s="17">
        <v>46108.0</v>
      </c>
      <c r="C960" s="18" t="s">
        <v>110</v>
      </c>
      <c r="D960" s="24" t="s">
        <v>1256</v>
      </c>
      <c r="H960" s="40" t="s">
        <v>27</v>
      </c>
      <c r="J960" s="24" t="s">
        <v>457</v>
      </c>
      <c r="K960" s="24" t="s">
        <v>992</v>
      </c>
      <c r="L960" s="23"/>
      <c r="M960" s="23"/>
      <c r="N960" s="17">
        <v>46108.0</v>
      </c>
      <c r="O960" s="23"/>
    </row>
    <row r="961">
      <c r="A961" s="16">
        <f t="shared" si="1"/>
        <v>960</v>
      </c>
      <c r="B961" s="17">
        <v>46112.0</v>
      </c>
      <c r="C961" s="18" t="s">
        <v>1188</v>
      </c>
      <c r="D961" s="24" t="s">
        <v>1257</v>
      </c>
      <c r="H961" s="40" t="s">
        <v>27</v>
      </c>
      <c r="J961" s="24" t="s">
        <v>457</v>
      </c>
      <c r="K961" s="24" t="s">
        <v>992</v>
      </c>
      <c r="L961" s="23"/>
      <c r="M961" s="23"/>
      <c r="N961" s="17">
        <v>46112.0</v>
      </c>
      <c r="O961" s="23"/>
    </row>
    <row r="962">
      <c r="A962" s="16">
        <f t="shared" si="1"/>
        <v>961</v>
      </c>
      <c r="B962" s="17">
        <v>46114.0</v>
      </c>
      <c r="C962" s="18" t="s">
        <v>1188</v>
      </c>
      <c r="D962" s="24" t="s">
        <v>1258</v>
      </c>
      <c r="H962" s="40" t="s">
        <v>27</v>
      </c>
      <c r="J962" s="24" t="s">
        <v>457</v>
      </c>
      <c r="K962" s="24" t="s">
        <v>992</v>
      </c>
      <c r="L962" s="23"/>
      <c r="M962" s="23"/>
      <c r="N962" s="17">
        <v>46114.0</v>
      </c>
      <c r="O962" s="23"/>
    </row>
    <row r="963">
      <c r="A963" s="16">
        <f t="shared" si="1"/>
        <v>962</v>
      </c>
      <c r="B963" s="17">
        <v>46121.0</v>
      </c>
      <c r="C963" s="18" t="s">
        <v>87</v>
      </c>
      <c r="D963" s="24" t="s">
        <v>1259</v>
      </c>
      <c r="H963" s="40" t="s">
        <v>27</v>
      </c>
      <c r="J963" s="24" t="s">
        <v>457</v>
      </c>
      <c r="K963" s="24" t="s">
        <v>992</v>
      </c>
      <c r="L963" s="23"/>
      <c r="M963" s="23"/>
      <c r="N963" s="17">
        <v>46121.0</v>
      </c>
      <c r="O963" s="23"/>
    </row>
    <row r="964">
      <c r="A964" s="16">
        <f t="shared" si="1"/>
        <v>963</v>
      </c>
      <c r="B964" s="17">
        <v>46129.0</v>
      </c>
      <c r="C964" s="18" t="s">
        <v>1260</v>
      </c>
      <c r="D964" s="24" t="s">
        <v>1261</v>
      </c>
      <c r="H964" s="40" t="s">
        <v>27</v>
      </c>
      <c r="J964" s="24" t="s">
        <v>1151</v>
      </c>
      <c r="K964" s="24" t="s">
        <v>992</v>
      </c>
      <c r="L964" s="23"/>
      <c r="M964" s="23"/>
      <c r="N964" s="17">
        <v>46129.0</v>
      </c>
      <c r="O964" s="23"/>
    </row>
    <row r="965">
      <c r="A965" s="16">
        <f t="shared" si="1"/>
        <v>964</v>
      </c>
      <c r="B965" s="17">
        <v>46133.0</v>
      </c>
      <c r="C965" s="18" t="s">
        <v>1188</v>
      </c>
      <c r="D965" s="24" t="s">
        <v>1262</v>
      </c>
      <c r="H965" s="40" t="s">
        <v>27</v>
      </c>
      <c r="J965" s="24" t="s">
        <v>457</v>
      </c>
      <c r="K965" s="24" t="s">
        <v>1263</v>
      </c>
      <c r="L965" s="23"/>
      <c r="M965" s="23"/>
      <c r="N965" s="17">
        <v>46133.0</v>
      </c>
      <c r="O965" s="23"/>
    </row>
    <row r="966">
      <c r="A966" s="16">
        <f t="shared" si="1"/>
        <v>965</v>
      </c>
      <c r="B966" s="17">
        <v>46133.0</v>
      </c>
      <c r="C966" s="18" t="s">
        <v>1188</v>
      </c>
      <c r="D966" s="24" t="s">
        <v>1264</v>
      </c>
      <c r="H966" s="40" t="s">
        <v>27</v>
      </c>
      <c r="J966" s="24" t="s">
        <v>457</v>
      </c>
      <c r="K966" s="24" t="s">
        <v>992</v>
      </c>
      <c r="L966" s="23"/>
      <c r="M966" s="23"/>
      <c r="N966" s="17">
        <v>46133.0</v>
      </c>
      <c r="O966" s="23"/>
    </row>
    <row r="967">
      <c r="A967" s="16">
        <f t="shared" si="1"/>
        <v>966</v>
      </c>
      <c r="B967" s="17">
        <v>46135.0</v>
      </c>
      <c r="C967" s="18" t="s">
        <v>1188</v>
      </c>
      <c r="D967" s="24" t="s">
        <v>1265</v>
      </c>
      <c r="H967" s="40" t="s">
        <v>27</v>
      </c>
      <c r="J967" s="24" t="s">
        <v>457</v>
      </c>
      <c r="K967" s="24" t="s">
        <v>992</v>
      </c>
      <c r="L967" s="23"/>
      <c r="M967" s="23"/>
      <c r="N967" s="17">
        <v>46135.0</v>
      </c>
      <c r="O967" s="23"/>
    </row>
    <row r="968">
      <c r="A968" s="16">
        <f t="shared" si="1"/>
        <v>967</v>
      </c>
      <c r="B968" s="17">
        <v>46135.0</v>
      </c>
      <c r="C968" s="18" t="s">
        <v>147</v>
      </c>
      <c r="D968" s="24" t="s">
        <v>1266</v>
      </c>
      <c r="H968" s="40" t="s">
        <v>27</v>
      </c>
      <c r="J968" s="24" t="s">
        <v>1151</v>
      </c>
      <c r="K968" s="24" t="s">
        <v>992</v>
      </c>
      <c r="L968" s="23"/>
      <c r="M968" s="23"/>
      <c r="N968" s="17">
        <v>46135.0</v>
      </c>
      <c r="O968" s="23"/>
    </row>
    <row r="969">
      <c r="A969" s="16">
        <f t="shared" si="1"/>
        <v>968</v>
      </c>
      <c r="B969" s="17">
        <v>46139.0</v>
      </c>
      <c r="C969" s="18" t="s">
        <v>87</v>
      </c>
      <c r="D969" s="24" t="s">
        <v>1267</v>
      </c>
      <c r="H969" s="40" t="s">
        <v>27</v>
      </c>
      <c r="J969" s="24" t="s">
        <v>415</v>
      </c>
      <c r="K969" s="24" t="s">
        <v>992</v>
      </c>
      <c r="L969" s="23"/>
      <c r="M969" s="23"/>
      <c r="N969" s="17">
        <v>46139.0</v>
      </c>
      <c r="O969" s="23"/>
    </row>
    <row r="970">
      <c r="A970" s="16">
        <f t="shared" si="1"/>
        <v>969</v>
      </c>
      <c r="B970" s="17">
        <v>46139.0</v>
      </c>
      <c r="C970" s="18" t="s">
        <v>147</v>
      </c>
      <c r="D970" s="24" t="s">
        <v>1268</v>
      </c>
      <c r="H970" s="40" t="s">
        <v>27</v>
      </c>
      <c r="J970" s="24" t="s">
        <v>415</v>
      </c>
      <c r="K970" s="24" t="s">
        <v>992</v>
      </c>
      <c r="L970" s="23"/>
      <c r="M970" s="23"/>
      <c r="N970" s="17">
        <v>46139.0</v>
      </c>
      <c r="O970" s="23"/>
    </row>
    <row r="971">
      <c r="A971" s="16">
        <f t="shared" si="1"/>
        <v>970</v>
      </c>
      <c r="B971" s="17">
        <v>46146.0</v>
      </c>
      <c r="C971" s="18" t="s">
        <v>87</v>
      </c>
      <c r="D971" s="24" t="s">
        <v>1269</v>
      </c>
      <c r="H971" s="40" t="s">
        <v>27</v>
      </c>
      <c r="J971" s="24" t="s">
        <v>415</v>
      </c>
      <c r="K971" s="24" t="s">
        <v>992</v>
      </c>
      <c r="L971" s="23"/>
      <c r="M971" s="23"/>
      <c r="N971" s="17">
        <v>46146.0</v>
      </c>
      <c r="O971" s="23"/>
    </row>
    <row r="972">
      <c r="A972" s="16">
        <f t="shared" si="1"/>
        <v>971</v>
      </c>
      <c r="B972" s="17">
        <v>46148.0</v>
      </c>
      <c r="C972" s="18" t="s">
        <v>147</v>
      </c>
      <c r="D972" s="24" t="s">
        <v>1270</v>
      </c>
      <c r="H972" s="40" t="s">
        <v>27</v>
      </c>
      <c r="J972" s="24" t="s">
        <v>457</v>
      </c>
      <c r="K972" s="24" t="s">
        <v>992</v>
      </c>
      <c r="L972" s="23"/>
      <c r="M972" s="23"/>
      <c r="N972" s="17">
        <v>46148.0</v>
      </c>
      <c r="O972" s="23"/>
    </row>
    <row r="973">
      <c r="A973" s="16">
        <f t="shared" si="1"/>
        <v>972</v>
      </c>
      <c r="B973" s="17">
        <v>46149.0</v>
      </c>
      <c r="C973" s="18" t="s">
        <v>147</v>
      </c>
      <c r="D973" s="59" t="s">
        <v>1271</v>
      </c>
      <c r="H973" s="40" t="s">
        <v>27</v>
      </c>
      <c r="J973" s="24" t="s">
        <v>415</v>
      </c>
      <c r="K973" s="24" t="s">
        <v>992</v>
      </c>
      <c r="L973" s="23"/>
      <c r="M973" s="23"/>
      <c r="N973" s="17">
        <v>46149.0</v>
      </c>
      <c r="O973" s="23"/>
    </row>
    <row r="974">
      <c r="A974" s="16">
        <f t="shared" si="1"/>
        <v>973</v>
      </c>
      <c r="B974" s="17">
        <v>46150.0</v>
      </c>
      <c r="C974" s="18" t="s">
        <v>1188</v>
      </c>
      <c r="D974" s="24" t="s">
        <v>1272</v>
      </c>
      <c r="H974" s="40" t="s">
        <v>27</v>
      </c>
      <c r="J974" s="24" t="s">
        <v>457</v>
      </c>
      <c r="K974" s="24" t="s">
        <v>992</v>
      </c>
      <c r="L974" s="23"/>
      <c r="M974" s="23"/>
      <c r="N974" s="17">
        <v>46150.0</v>
      </c>
      <c r="O974" s="23"/>
    </row>
    <row r="975">
      <c r="A975" s="16">
        <f t="shared" si="1"/>
        <v>974</v>
      </c>
      <c r="B975" s="17">
        <v>46150.0</v>
      </c>
      <c r="C975" s="18" t="s">
        <v>1188</v>
      </c>
      <c r="D975" s="24" t="s">
        <v>1273</v>
      </c>
      <c r="H975" s="40" t="s">
        <v>27</v>
      </c>
      <c r="J975" s="24" t="s">
        <v>457</v>
      </c>
      <c r="K975" s="24" t="s">
        <v>992</v>
      </c>
      <c r="L975" s="23"/>
      <c r="M975" s="23"/>
      <c r="N975" s="17">
        <v>46150.0</v>
      </c>
      <c r="O975" s="23"/>
    </row>
    <row r="976">
      <c r="A976" s="16">
        <f t="shared" si="1"/>
        <v>975</v>
      </c>
      <c r="B976" s="17">
        <v>46150.0</v>
      </c>
      <c r="C976" s="18" t="s">
        <v>1188</v>
      </c>
      <c r="D976" s="24" t="s">
        <v>1274</v>
      </c>
      <c r="H976" s="40" t="s">
        <v>27</v>
      </c>
      <c r="J976" s="24" t="s">
        <v>457</v>
      </c>
      <c r="K976" s="24" t="s">
        <v>992</v>
      </c>
      <c r="L976" s="23"/>
      <c r="M976" s="23"/>
      <c r="N976" s="17">
        <v>46150.0</v>
      </c>
      <c r="O976" s="23"/>
    </row>
    <row r="977">
      <c r="A977" s="16" t="str">
        <f t="shared" si="1"/>
        <v/>
      </c>
      <c r="B977" s="17"/>
      <c r="C977" s="18"/>
      <c r="D977" s="24"/>
      <c r="J977" s="22"/>
      <c r="K977" s="22"/>
      <c r="L977" s="23"/>
      <c r="M977" s="23"/>
      <c r="N977" s="23"/>
      <c r="O977" s="23"/>
    </row>
    <row r="978">
      <c r="A978" s="16" t="str">
        <f t="shared" si="1"/>
        <v/>
      </c>
      <c r="B978" s="17"/>
      <c r="C978" s="18"/>
      <c r="D978" s="24"/>
      <c r="J978" s="22"/>
      <c r="K978" s="22"/>
      <c r="L978" s="23"/>
      <c r="M978" s="23"/>
      <c r="N978" s="23"/>
      <c r="O978" s="23"/>
    </row>
    <row r="979">
      <c r="A979" s="16" t="str">
        <f t="shared" si="1"/>
        <v/>
      </c>
      <c r="B979" s="17"/>
      <c r="C979" s="18"/>
      <c r="D979" s="24"/>
      <c r="J979" s="22"/>
      <c r="K979" s="22"/>
      <c r="L979" s="23"/>
      <c r="M979" s="23"/>
      <c r="N979" s="23"/>
      <c r="O979" s="23"/>
    </row>
    <row r="980">
      <c r="A980" s="16" t="str">
        <f t="shared" si="1"/>
        <v/>
      </c>
      <c r="B980" s="17"/>
      <c r="C980" s="18"/>
      <c r="D980" s="24"/>
      <c r="J980" s="22"/>
      <c r="K980" s="22"/>
      <c r="L980" s="23"/>
      <c r="M980" s="23"/>
      <c r="N980" s="23"/>
      <c r="O980" s="23"/>
    </row>
    <row r="981">
      <c r="A981" s="16" t="str">
        <f t="shared" si="1"/>
        <v/>
      </c>
      <c r="B981" s="17"/>
      <c r="C981" s="18"/>
      <c r="D981" s="24"/>
      <c r="J981" s="22"/>
      <c r="K981" s="22"/>
      <c r="L981" s="23"/>
      <c r="M981" s="23"/>
      <c r="N981" s="23"/>
      <c r="O981" s="23"/>
    </row>
    <row r="982">
      <c r="A982" s="16" t="str">
        <f t="shared" si="1"/>
        <v/>
      </c>
      <c r="B982" s="17"/>
      <c r="C982" s="18"/>
      <c r="D982" s="24"/>
      <c r="J982" s="22"/>
      <c r="K982" s="22"/>
      <c r="L982" s="23"/>
      <c r="M982" s="23"/>
      <c r="N982" s="23"/>
      <c r="O982" s="23"/>
    </row>
    <row r="983">
      <c r="A983" s="16" t="str">
        <f t="shared" si="1"/>
        <v/>
      </c>
      <c r="B983" s="17"/>
      <c r="C983" s="18"/>
      <c r="D983" s="24"/>
      <c r="J983" s="22"/>
      <c r="K983" s="22"/>
      <c r="L983" s="23"/>
      <c r="M983" s="23"/>
      <c r="N983" s="23"/>
      <c r="O983" s="23"/>
    </row>
    <row r="984">
      <c r="A984" s="16" t="str">
        <f t="shared" si="1"/>
        <v/>
      </c>
      <c r="B984" s="17"/>
      <c r="C984" s="18"/>
      <c r="D984" s="24"/>
      <c r="J984" s="22"/>
      <c r="K984" s="22"/>
      <c r="L984" s="23"/>
      <c r="M984" s="23"/>
      <c r="N984" s="23"/>
      <c r="O984" s="23"/>
    </row>
    <row r="985">
      <c r="A985" s="16" t="str">
        <f t="shared" si="1"/>
        <v/>
      </c>
      <c r="B985" s="17"/>
      <c r="C985" s="18"/>
      <c r="D985" s="24"/>
      <c r="J985" s="22"/>
      <c r="K985" s="22"/>
      <c r="L985" s="23"/>
      <c r="M985" s="23"/>
      <c r="N985" s="23"/>
      <c r="O985" s="23"/>
    </row>
    <row r="986">
      <c r="A986" s="16" t="str">
        <f t="shared" si="1"/>
        <v/>
      </c>
      <c r="B986" s="17"/>
      <c r="C986" s="18"/>
      <c r="D986" s="24"/>
      <c r="J986" s="22"/>
      <c r="K986" s="22"/>
      <c r="L986" s="23"/>
      <c r="M986" s="23"/>
      <c r="N986" s="23"/>
      <c r="O986" s="23"/>
    </row>
    <row r="987">
      <c r="A987" s="16" t="str">
        <f t="shared" si="1"/>
        <v/>
      </c>
      <c r="B987" s="17"/>
      <c r="C987" s="18"/>
      <c r="D987" s="24"/>
      <c r="J987" s="22"/>
      <c r="K987" s="22"/>
      <c r="L987" s="23"/>
      <c r="M987" s="23"/>
      <c r="N987" s="23"/>
      <c r="O987" s="23"/>
    </row>
    <row r="988">
      <c r="A988" s="16" t="str">
        <f t="shared" si="1"/>
        <v/>
      </c>
      <c r="B988" s="17"/>
      <c r="C988" s="18"/>
      <c r="D988" s="24"/>
      <c r="J988" s="22"/>
      <c r="K988" s="22"/>
      <c r="L988" s="23"/>
      <c r="M988" s="23"/>
      <c r="N988" s="23"/>
      <c r="O988" s="23"/>
    </row>
    <row r="989">
      <c r="A989" s="16" t="str">
        <f t="shared" si="1"/>
        <v/>
      </c>
      <c r="B989" s="17"/>
      <c r="C989" s="18"/>
      <c r="D989" s="24"/>
      <c r="J989" s="22"/>
      <c r="K989" s="22"/>
      <c r="L989" s="23"/>
      <c r="M989" s="23"/>
      <c r="N989" s="23"/>
      <c r="O989" s="23"/>
    </row>
    <row r="990">
      <c r="A990" s="16" t="str">
        <f t="shared" si="1"/>
        <v/>
      </c>
      <c r="B990" s="17"/>
      <c r="C990" s="18"/>
      <c r="D990" s="24"/>
      <c r="J990" s="22"/>
      <c r="K990" s="22"/>
      <c r="L990" s="23"/>
      <c r="M990" s="23"/>
      <c r="N990" s="23"/>
      <c r="O990" s="23"/>
    </row>
    <row r="991">
      <c r="A991" s="16" t="str">
        <f t="shared" si="1"/>
        <v/>
      </c>
      <c r="B991" s="17"/>
      <c r="C991" s="18"/>
      <c r="D991" s="24"/>
      <c r="J991" s="22"/>
      <c r="K991" s="22"/>
      <c r="L991" s="23"/>
      <c r="M991" s="23"/>
      <c r="N991" s="23"/>
      <c r="O991" s="23"/>
    </row>
    <row r="992">
      <c r="A992" s="16" t="str">
        <f t="shared" si="1"/>
        <v/>
      </c>
      <c r="B992" s="17"/>
      <c r="C992" s="18"/>
      <c r="D992" s="24"/>
      <c r="J992" s="22"/>
      <c r="K992" s="22"/>
      <c r="L992" s="23"/>
      <c r="M992" s="23"/>
      <c r="N992" s="23"/>
      <c r="O992" s="23"/>
    </row>
    <row r="993">
      <c r="A993" s="16" t="str">
        <f t="shared" si="1"/>
        <v/>
      </c>
      <c r="B993" s="17"/>
      <c r="C993" s="18"/>
      <c r="D993" s="24"/>
      <c r="J993" s="22"/>
      <c r="K993" s="22"/>
      <c r="L993" s="23"/>
      <c r="M993" s="23"/>
      <c r="N993" s="23"/>
      <c r="O993" s="23"/>
    </row>
    <row r="994">
      <c r="A994" s="16" t="str">
        <f t="shared" si="1"/>
        <v/>
      </c>
      <c r="B994" s="17"/>
      <c r="C994" s="18"/>
      <c r="D994" s="24"/>
      <c r="J994" s="22"/>
      <c r="K994" s="22"/>
      <c r="L994" s="23"/>
      <c r="M994" s="23"/>
      <c r="N994" s="23"/>
      <c r="O994" s="23"/>
    </row>
    <row r="995">
      <c r="A995" s="16" t="str">
        <f t="shared" si="1"/>
        <v/>
      </c>
      <c r="B995" s="17"/>
      <c r="C995" s="18"/>
      <c r="D995" s="24"/>
      <c r="J995" s="22"/>
      <c r="K995" s="22"/>
      <c r="L995" s="23"/>
      <c r="M995" s="23"/>
      <c r="N995" s="23"/>
      <c r="O995" s="23"/>
    </row>
    <row r="996">
      <c r="A996" s="16" t="str">
        <f t="shared" si="1"/>
        <v/>
      </c>
      <c r="B996" s="17"/>
      <c r="C996" s="18"/>
      <c r="D996" s="24"/>
      <c r="J996" s="22"/>
      <c r="K996" s="22"/>
      <c r="L996" s="23"/>
      <c r="M996" s="23"/>
      <c r="N996" s="23"/>
      <c r="O996" s="23"/>
    </row>
    <row r="997">
      <c r="A997" s="16" t="str">
        <f t="shared" si="1"/>
        <v/>
      </c>
      <c r="B997" s="17"/>
      <c r="C997" s="18"/>
      <c r="D997" s="24"/>
      <c r="J997" s="22"/>
      <c r="K997" s="22"/>
      <c r="L997" s="23"/>
      <c r="M997" s="23"/>
      <c r="N997" s="23"/>
      <c r="O997" s="23"/>
    </row>
    <row r="998">
      <c r="A998" s="16" t="str">
        <f t="shared" si="1"/>
        <v/>
      </c>
      <c r="B998" s="17"/>
      <c r="C998" s="18"/>
      <c r="D998" s="24"/>
      <c r="J998" s="22"/>
      <c r="K998" s="22"/>
      <c r="L998" s="23"/>
      <c r="M998" s="23"/>
      <c r="N998" s="23"/>
      <c r="O998" s="23"/>
    </row>
    <row r="999">
      <c r="A999" s="16" t="str">
        <f t="shared" si="1"/>
        <v/>
      </c>
      <c r="B999" s="17"/>
      <c r="C999" s="18"/>
      <c r="D999" s="24"/>
      <c r="J999" s="22"/>
      <c r="K999" s="22"/>
      <c r="L999" s="23"/>
      <c r="M999" s="23"/>
      <c r="N999" s="23"/>
      <c r="O999" s="23"/>
    </row>
    <row r="1000">
      <c r="A1000" s="16" t="str">
        <f t="shared" si="1"/>
        <v/>
      </c>
      <c r="B1000" s="17"/>
      <c r="C1000" s="18"/>
      <c r="D1000" s="24"/>
      <c r="J1000" s="22"/>
      <c r="K1000" s="22"/>
      <c r="L1000" s="23"/>
      <c r="M1000" s="23"/>
      <c r="N1000" s="23"/>
      <c r="O1000" s="23"/>
    </row>
    <row r="1001">
      <c r="A1001" s="16" t="str">
        <f t="shared" si="1"/>
        <v/>
      </c>
      <c r="B1001" s="17"/>
      <c r="C1001" s="18"/>
      <c r="D1001" s="24"/>
      <c r="J1001" s="22"/>
      <c r="K1001" s="22"/>
      <c r="L1001" s="23"/>
      <c r="M1001" s="23"/>
      <c r="N1001" s="23"/>
      <c r="O1001" s="23"/>
    </row>
    <row r="1002">
      <c r="A1002" s="16" t="str">
        <f t="shared" si="1"/>
        <v/>
      </c>
      <c r="B1002" s="17"/>
      <c r="C1002" s="18"/>
      <c r="D1002" s="24"/>
      <c r="J1002" s="22"/>
      <c r="K1002" s="22"/>
      <c r="L1002" s="23"/>
      <c r="M1002" s="23"/>
      <c r="N1002" s="23"/>
      <c r="O1002" s="23"/>
    </row>
    <row r="1003">
      <c r="A1003" s="16" t="str">
        <f t="shared" si="1"/>
        <v/>
      </c>
      <c r="B1003" s="17"/>
      <c r="C1003" s="18"/>
      <c r="D1003" s="24"/>
      <c r="J1003" s="22"/>
      <c r="K1003" s="22"/>
      <c r="L1003" s="23"/>
      <c r="M1003" s="23"/>
      <c r="N1003" s="23"/>
      <c r="O1003" s="23"/>
    </row>
    <row r="1004">
      <c r="A1004" s="16" t="str">
        <f t="shared" si="1"/>
        <v/>
      </c>
      <c r="B1004" s="17"/>
      <c r="C1004" s="18"/>
      <c r="D1004" s="24"/>
      <c r="J1004" s="22"/>
      <c r="K1004" s="22"/>
      <c r="L1004" s="23"/>
      <c r="M1004" s="23"/>
      <c r="N1004" s="23"/>
      <c r="O1004" s="23"/>
    </row>
    <row r="1005">
      <c r="A1005" s="16" t="str">
        <f t="shared" si="1"/>
        <v/>
      </c>
      <c r="B1005" s="17"/>
      <c r="C1005" s="18"/>
      <c r="D1005" s="24"/>
      <c r="J1005" s="22"/>
      <c r="K1005" s="22"/>
      <c r="L1005" s="23"/>
      <c r="M1005" s="23"/>
      <c r="N1005" s="23"/>
      <c r="O1005" s="23"/>
    </row>
    <row r="1006">
      <c r="A1006" s="16" t="str">
        <f t="shared" si="1"/>
        <v/>
      </c>
      <c r="B1006" s="17"/>
      <c r="C1006" s="18"/>
      <c r="D1006" s="24"/>
      <c r="J1006" s="22"/>
      <c r="K1006" s="22"/>
      <c r="L1006" s="23"/>
      <c r="M1006" s="23"/>
      <c r="N1006" s="23"/>
      <c r="O1006" s="23"/>
    </row>
    <row r="1007">
      <c r="A1007" s="16" t="str">
        <f t="shared" si="1"/>
        <v/>
      </c>
      <c r="B1007" s="17"/>
      <c r="C1007" s="18"/>
      <c r="D1007" s="24"/>
      <c r="J1007" s="22"/>
      <c r="K1007" s="22"/>
      <c r="L1007" s="23"/>
      <c r="M1007" s="23"/>
      <c r="N1007" s="23"/>
      <c r="O1007" s="23"/>
    </row>
    <row r="1008">
      <c r="A1008" s="16" t="str">
        <f t="shared" si="1"/>
        <v/>
      </c>
      <c r="B1008" s="17"/>
      <c r="C1008" s="18"/>
      <c r="D1008" s="24"/>
      <c r="J1008" s="22"/>
      <c r="K1008" s="22"/>
      <c r="L1008" s="23"/>
      <c r="M1008" s="23"/>
      <c r="N1008" s="23"/>
      <c r="O1008" s="23"/>
    </row>
    <row r="1009">
      <c r="A1009" s="16" t="str">
        <f t="shared" si="1"/>
        <v/>
      </c>
      <c r="B1009" s="17"/>
      <c r="C1009" s="18"/>
      <c r="D1009" s="24"/>
      <c r="J1009" s="22"/>
      <c r="K1009" s="22"/>
      <c r="L1009" s="23"/>
      <c r="M1009" s="23"/>
      <c r="N1009" s="23"/>
      <c r="O1009" s="23"/>
    </row>
    <row r="1010">
      <c r="A1010" s="16" t="str">
        <f t="shared" si="1"/>
        <v/>
      </c>
      <c r="B1010" s="17"/>
      <c r="C1010" s="18"/>
      <c r="D1010" s="24"/>
      <c r="J1010" s="22"/>
      <c r="K1010" s="22"/>
      <c r="L1010" s="23"/>
      <c r="M1010" s="23"/>
      <c r="N1010" s="23"/>
      <c r="O1010" s="23"/>
    </row>
    <row r="1011">
      <c r="A1011" s="16" t="str">
        <f t="shared" si="1"/>
        <v/>
      </c>
      <c r="B1011" s="17"/>
      <c r="C1011" s="18"/>
      <c r="D1011" s="24"/>
      <c r="J1011" s="22"/>
      <c r="K1011" s="22"/>
      <c r="L1011" s="23"/>
      <c r="M1011" s="23"/>
      <c r="N1011" s="23"/>
      <c r="O1011" s="23"/>
    </row>
    <row r="1012">
      <c r="A1012" s="16" t="str">
        <f t="shared" si="1"/>
        <v/>
      </c>
      <c r="B1012" s="17"/>
      <c r="C1012" s="18"/>
      <c r="D1012" s="24"/>
      <c r="J1012" s="22"/>
      <c r="K1012" s="22"/>
      <c r="L1012" s="23"/>
      <c r="M1012" s="23"/>
      <c r="N1012" s="23"/>
      <c r="O1012" s="23"/>
    </row>
    <row r="1013">
      <c r="A1013" s="16" t="str">
        <f t="shared" si="1"/>
        <v/>
      </c>
      <c r="B1013" s="17"/>
      <c r="C1013" s="18"/>
      <c r="D1013" s="24"/>
      <c r="J1013" s="22"/>
      <c r="K1013" s="22"/>
      <c r="L1013" s="23"/>
      <c r="M1013" s="23"/>
      <c r="N1013" s="23"/>
      <c r="O1013" s="23"/>
    </row>
    <row r="1014">
      <c r="A1014" s="16" t="str">
        <f t="shared" si="1"/>
        <v/>
      </c>
      <c r="B1014" s="17"/>
      <c r="C1014" s="18"/>
      <c r="D1014" s="24"/>
      <c r="J1014" s="22"/>
      <c r="K1014" s="22"/>
      <c r="L1014" s="23"/>
      <c r="M1014" s="23"/>
      <c r="N1014" s="23"/>
      <c r="O1014" s="23"/>
    </row>
    <row r="1015">
      <c r="A1015" s="16" t="str">
        <f t="shared" si="1"/>
        <v/>
      </c>
      <c r="B1015" s="17"/>
      <c r="C1015" s="18"/>
      <c r="D1015" s="24"/>
      <c r="J1015" s="22"/>
      <c r="K1015" s="22"/>
      <c r="L1015" s="23"/>
      <c r="M1015" s="23"/>
      <c r="N1015" s="23"/>
      <c r="O1015" s="23"/>
    </row>
    <row r="1016">
      <c r="A1016" s="16" t="str">
        <f t="shared" si="1"/>
        <v/>
      </c>
      <c r="B1016" s="17"/>
      <c r="C1016" s="18"/>
      <c r="D1016" s="24"/>
      <c r="J1016" s="22"/>
      <c r="K1016" s="22"/>
      <c r="L1016" s="23"/>
      <c r="M1016" s="23"/>
      <c r="N1016" s="23"/>
      <c r="O1016" s="23"/>
    </row>
    <row r="1017">
      <c r="A1017" s="16" t="str">
        <f t="shared" si="1"/>
        <v/>
      </c>
      <c r="B1017" s="17"/>
      <c r="C1017" s="18"/>
      <c r="D1017" s="24"/>
      <c r="J1017" s="22"/>
      <c r="K1017" s="22"/>
      <c r="L1017" s="23"/>
      <c r="M1017" s="23"/>
      <c r="N1017" s="23"/>
      <c r="O1017" s="23"/>
    </row>
    <row r="1018">
      <c r="A1018" s="16" t="str">
        <f t="shared" si="1"/>
        <v/>
      </c>
      <c r="B1018" s="17"/>
      <c r="C1018" s="18"/>
      <c r="D1018" s="24"/>
      <c r="J1018" s="22"/>
      <c r="K1018" s="22"/>
      <c r="L1018" s="23"/>
      <c r="M1018" s="23"/>
      <c r="N1018" s="23"/>
      <c r="O1018" s="23"/>
    </row>
    <row r="1019">
      <c r="A1019" s="16" t="str">
        <f t="shared" si="1"/>
        <v/>
      </c>
      <c r="B1019" s="17"/>
      <c r="C1019" s="18"/>
      <c r="D1019" s="24"/>
      <c r="J1019" s="22"/>
      <c r="K1019" s="22"/>
      <c r="L1019" s="23"/>
      <c r="M1019" s="23"/>
      <c r="N1019" s="23"/>
      <c r="O1019" s="23"/>
    </row>
    <row r="1020">
      <c r="A1020" s="16" t="str">
        <f t="shared" si="1"/>
        <v/>
      </c>
      <c r="B1020" s="17"/>
      <c r="C1020" s="18"/>
      <c r="D1020" s="24"/>
      <c r="J1020" s="22"/>
      <c r="K1020" s="22"/>
      <c r="L1020" s="23"/>
      <c r="M1020" s="23"/>
      <c r="N1020" s="23"/>
      <c r="O1020" s="23"/>
    </row>
    <row r="1021">
      <c r="A1021" s="16" t="str">
        <f t="shared" si="1"/>
        <v/>
      </c>
      <c r="B1021" s="17"/>
      <c r="C1021" s="18"/>
      <c r="D1021" s="24"/>
      <c r="J1021" s="22"/>
      <c r="K1021" s="22"/>
      <c r="L1021" s="23"/>
      <c r="M1021" s="23"/>
      <c r="N1021" s="23"/>
      <c r="O1021" s="23"/>
    </row>
    <row r="1022">
      <c r="A1022" s="16" t="str">
        <f t="shared" si="1"/>
        <v/>
      </c>
      <c r="B1022" s="17"/>
      <c r="C1022" s="18"/>
      <c r="D1022" s="24"/>
      <c r="J1022" s="22"/>
      <c r="K1022" s="22"/>
      <c r="L1022" s="23"/>
      <c r="M1022" s="23"/>
      <c r="N1022" s="23"/>
      <c r="O1022" s="23"/>
    </row>
    <row r="1023">
      <c r="A1023" s="16" t="str">
        <f t="shared" si="1"/>
        <v/>
      </c>
      <c r="B1023" s="17"/>
      <c r="C1023" s="18"/>
      <c r="D1023" s="24"/>
      <c r="J1023" s="22"/>
      <c r="K1023" s="22"/>
      <c r="L1023" s="23"/>
      <c r="M1023" s="23"/>
      <c r="N1023" s="23"/>
      <c r="O1023" s="23"/>
    </row>
    <row r="1024">
      <c r="A1024" s="16" t="str">
        <f t="shared" si="1"/>
        <v/>
      </c>
      <c r="B1024" s="17"/>
      <c r="C1024" s="18"/>
      <c r="D1024" s="24"/>
      <c r="J1024" s="22"/>
      <c r="K1024" s="22"/>
      <c r="L1024" s="23"/>
      <c r="M1024" s="23"/>
      <c r="N1024" s="23"/>
      <c r="O1024" s="23"/>
    </row>
    <row r="1025">
      <c r="A1025" s="16" t="str">
        <f t="shared" si="1"/>
        <v/>
      </c>
      <c r="B1025" s="17"/>
      <c r="C1025" s="18"/>
      <c r="D1025" s="24"/>
      <c r="J1025" s="22"/>
      <c r="K1025" s="22"/>
      <c r="L1025" s="23"/>
      <c r="M1025" s="23"/>
      <c r="N1025" s="23"/>
      <c r="O1025" s="23"/>
    </row>
    <row r="1026">
      <c r="A1026" s="16" t="str">
        <f t="shared" si="1"/>
        <v/>
      </c>
      <c r="B1026" s="17"/>
      <c r="C1026" s="18"/>
      <c r="D1026" s="24"/>
      <c r="J1026" s="22"/>
      <c r="K1026" s="22"/>
      <c r="L1026" s="23"/>
      <c r="M1026" s="23"/>
      <c r="N1026" s="23"/>
      <c r="O1026" s="23"/>
    </row>
    <row r="1027">
      <c r="A1027" s="16" t="str">
        <f t="shared" si="1"/>
        <v/>
      </c>
      <c r="B1027" s="17"/>
      <c r="C1027" s="18"/>
      <c r="D1027" s="24"/>
      <c r="J1027" s="22"/>
      <c r="K1027" s="22"/>
      <c r="L1027" s="23"/>
      <c r="M1027" s="23"/>
      <c r="N1027" s="23"/>
      <c r="O1027" s="23"/>
    </row>
    <row r="1028">
      <c r="A1028" s="16" t="str">
        <f t="shared" si="1"/>
        <v/>
      </c>
      <c r="B1028" s="17"/>
      <c r="C1028" s="18"/>
      <c r="D1028" s="24"/>
      <c r="J1028" s="22"/>
      <c r="K1028" s="22"/>
      <c r="L1028" s="23"/>
      <c r="M1028" s="23"/>
      <c r="N1028" s="23"/>
      <c r="O1028" s="23"/>
    </row>
    <row r="1029">
      <c r="A1029" s="16" t="str">
        <f t="shared" si="1"/>
        <v/>
      </c>
      <c r="B1029" s="17"/>
      <c r="C1029" s="18"/>
      <c r="D1029" s="24"/>
      <c r="J1029" s="22"/>
      <c r="K1029" s="22"/>
      <c r="L1029" s="23"/>
      <c r="M1029" s="23"/>
      <c r="N1029" s="23"/>
      <c r="O1029" s="23"/>
    </row>
    <row r="1030">
      <c r="A1030" s="16" t="str">
        <f t="shared" si="1"/>
        <v/>
      </c>
      <c r="B1030" s="17"/>
      <c r="C1030" s="18"/>
      <c r="D1030" s="24"/>
      <c r="J1030" s="22"/>
      <c r="K1030" s="22"/>
      <c r="L1030" s="23"/>
      <c r="M1030" s="23"/>
      <c r="N1030" s="23"/>
      <c r="O1030" s="23"/>
    </row>
    <row r="1031">
      <c r="A1031" s="16" t="str">
        <f t="shared" si="1"/>
        <v/>
      </c>
      <c r="B1031" s="17"/>
      <c r="C1031" s="18"/>
      <c r="D1031" s="24"/>
      <c r="J1031" s="22"/>
      <c r="K1031" s="22"/>
      <c r="L1031" s="23"/>
      <c r="M1031" s="23"/>
      <c r="N1031" s="23"/>
      <c r="O1031" s="23"/>
    </row>
    <row r="1032">
      <c r="A1032" s="16" t="str">
        <f t="shared" si="1"/>
        <v/>
      </c>
      <c r="B1032" s="17"/>
      <c r="C1032" s="18"/>
      <c r="D1032" s="24"/>
      <c r="J1032" s="22"/>
      <c r="K1032" s="22"/>
      <c r="L1032" s="23"/>
      <c r="M1032" s="23"/>
      <c r="N1032" s="23"/>
      <c r="O1032" s="23"/>
    </row>
    <row r="1033">
      <c r="A1033" s="16" t="str">
        <f t="shared" si="1"/>
        <v/>
      </c>
      <c r="B1033" s="17"/>
      <c r="C1033" s="18"/>
      <c r="D1033" s="24"/>
      <c r="J1033" s="22"/>
      <c r="K1033" s="22"/>
      <c r="L1033" s="23"/>
      <c r="M1033" s="23"/>
      <c r="N1033" s="23"/>
      <c r="O1033" s="23"/>
    </row>
    <row r="1034">
      <c r="A1034" s="16" t="str">
        <f t="shared" si="1"/>
        <v/>
      </c>
      <c r="B1034" s="17"/>
      <c r="C1034" s="18"/>
      <c r="D1034" s="24"/>
      <c r="J1034" s="22"/>
      <c r="K1034" s="22"/>
      <c r="L1034" s="23"/>
      <c r="M1034" s="23"/>
      <c r="N1034" s="23"/>
      <c r="O1034" s="23"/>
    </row>
    <row r="1035">
      <c r="A1035" s="16" t="str">
        <f t="shared" si="1"/>
        <v/>
      </c>
      <c r="B1035" s="17"/>
      <c r="C1035" s="18"/>
      <c r="D1035" s="24"/>
      <c r="J1035" s="22"/>
      <c r="K1035" s="22"/>
      <c r="L1035" s="23"/>
      <c r="M1035" s="23"/>
      <c r="N1035" s="23"/>
      <c r="O1035" s="23"/>
    </row>
    <row r="1036">
      <c r="A1036" s="16" t="str">
        <f t="shared" si="1"/>
        <v/>
      </c>
      <c r="B1036" s="17"/>
      <c r="C1036" s="18"/>
      <c r="D1036" s="24"/>
      <c r="J1036" s="22"/>
      <c r="K1036" s="22"/>
      <c r="L1036" s="23"/>
      <c r="M1036" s="23"/>
      <c r="N1036" s="23"/>
      <c r="O1036" s="23"/>
    </row>
    <row r="1037">
      <c r="A1037" s="16" t="str">
        <f t="shared" si="1"/>
        <v/>
      </c>
      <c r="B1037" s="17"/>
      <c r="C1037" s="18"/>
      <c r="D1037" s="24"/>
      <c r="J1037" s="22"/>
      <c r="K1037" s="22"/>
      <c r="L1037" s="23"/>
      <c r="M1037" s="23"/>
      <c r="N1037" s="23"/>
      <c r="O1037" s="23"/>
    </row>
    <row r="1038">
      <c r="A1038" s="16" t="str">
        <f t="shared" si="1"/>
        <v/>
      </c>
      <c r="B1038" s="17"/>
      <c r="C1038" s="18"/>
      <c r="D1038" s="24"/>
      <c r="J1038" s="22"/>
      <c r="K1038" s="22"/>
      <c r="L1038" s="23"/>
      <c r="M1038" s="23"/>
      <c r="N1038" s="23"/>
      <c r="O1038" s="23"/>
    </row>
    <row r="1039">
      <c r="A1039" s="16" t="str">
        <f t="shared" si="1"/>
        <v/>
      </c>
      <c r="B1039" s="17"/>
      <c r="C1039" s="18"/>
      <c r="D1039" s="24"/>
      <c r="J1039" s="22"/>
      <c r="K1039" s="22"/>
      <c r="L1039" s="23"/>
      <c r="M1039" s="23"/>
      <c r="N1039" s="23"/>
      <c r="O1039" s="23"/>
    </row>
    <row r="1040">
      <c r="A1040" s="16" t="str">
        <f t="shared" si="1"/>
        <v/>
      </c>
      <c r="B1040" s="17"/>
      <c r="C1040" s="18"/>
      <c r="D1040" s="24"/>
      <c r="J1040" s="22"/>
      <c r="K1040" s="22"/>
      <c r="L1040" s="23"/>
      <c r="M1040" s="23"/>
      <c r="N1040" s="23"/>
      <c r="O1040" s="23"/>
    </row>
    <row r="1041">
      <c r="A1041" s="16" t="str">
        <f t="shared" si="1"/>
        <v/>
      </c>
      <c r="B1041" s="17"/>
      <c r="C1041" s="18"/>
      <c r="D1041" s="24"/>
      <c r="J1041" s="22"/>
      <c r="K1041" s="22"/>
      <c r="L1041" s="23"/>
      <c r="M1041" s="23"/>
      <c r="N1041" s="23"/>
      <c r="O1041" s="23"/>
    </row>
    <row r="1042">
      <c r="A1042" s="16" t="str">
        <f t="shared" si="1"/>
        <v/>
      </c>
      <c r="B1042" s="17"/>
      <c r="C1042" s="18"/>
      <c r="D1042" s="24"/>
      <c r="J1042" s="22"/>
      <c r="K1042" s="22"/>
      <c r="L1042" s="23"/>
      <c r="M1042" s="23"/>
      <c r="N1042" s="23"/>
      <c r="O1042" s="23"/>
    </row>
    <row r="1043">
      <c r="A1043" s="16" t="str">
        <f t="shared" si="1"/>
        <v/>
      </c>
      <c r="B1043" s="17"/>
      <c r="C1043" s="18"/>
      <c r="D1043" s="24"/>
      <c r="J1043" s="22"/>
      <c r="K1043" s="22"/>
      <c r="L1043" s="23"/>
      <c r="M1043" s="23"/>
      <c r="N1043" s="23"/>
      <c r="O1043" s="23"/>
    </row>
    <row r="1044">
      <c r="A1044" s="16" t="str">
        <f t="shared" si="1"/>
        <v/>
      </c>
      <c r="B1044" s="17"/>
      <c r="C1044" s="18"/>
      <c r="D1044" s="24"/>
      <c r="J1044" s="22"/>
      <c r="K1044" s="22"/>
      <c r="L1044" s="23"/>
      <c r="M1044" s="23"/>
      <c r="N1044" s="23"/>
      <c r="O1044" s="23"/>
    </row>
    <row r="1045">
      <c r="A1045" s="16" t="str">
        <f t="shared" si="1"/>
        <v/>
      </c>
      <c r="B1045" s="17"/>
      <c r="C1045" s="18"/>
      <c r="D1045" s="24"/>
      <c r="J1045" s="22"/>
      <c r="K1045" s="22"/>
      <c r="L1045" s="23"/>
      <c r="M1045" s="23"/>
      <c r="N1045" s="23"/>
      <c r="O1045" s="23"/>
    </row>
    <row r="1046">
      <c r="A1046" s="16" t="str">
        <f t="shared" si="1"/>
        <v/>
      </c>
      <c r="B1046" s="17"/>
      <c r="C1046" s="18"/>
      <c r="D1046" s="24"/>
      <c r="J1046" s="22"/>
      <c r="K1046" s="22"/>
      <c r="L1046" s="23"/>
      <c r="M1046" s="23"/>
      <c r="N1046" s="23"/>
      <c r="O1046" s="23"/>
    </row>
    <row r="1047">
      <c r="A1047" s="16" t="str">
        <f t="shared" si="1"/>
        <v/>
      </c>
      <c r="B1047" s="17"/>
      <c r="C1047" s="18"/>
      <c r="D1047" s="24"/>
      <c r="J1047" s="22"/>
      <c r="K1047" s="22"/>
      <c r="L1047" s="23"/>
      <c r="M1047" s="23"/>
      <c r="N1047" s="23"/>
      <c r="O1047" s="23"/>
    </row>
    <row r="1048">
      <c r="A1048" s="16" t="str">
        <f t="shared" si="1"/>
        <v/>
      </c>
      <c r="B1048" s="17"/>
      <c r="C1048" s="18"/>
      <c r="D1048" s="24"/>
      <c r="J1048" s="22"/>
      <c r="K1048" s="22"/>
      <c r="L1048" s="23"/>
      <c r="M1048" s="23"/>
      <c r="N1048" s="23"/>
      <c r="O1048" s="23"/>
    </row>
    <row r="1049">
      <c r="A1049" s="16" t="str">
        <f t="shared" si="1"/>
        <v/>
      </c>
      <c r="B1049" s="17"/>
      <c r="C1049" s="18"/>
      <c r="D1049" s="24"/>
      <c r="J1049" s="22"/>
      <c r="K1049" s="22"/>
      <c r="L1049" s="23"/>
      <c r="M1049" s="23"/>
      <c r="N1049" s="23"/>
      <c r="O1049" s="23"/>
    </row>
    <row r="1050">
      <c r="A1050" s="16" t="str">
        <f t="shared" si="1"/>
        <v/>
      </c>
      <c r="B1050" s="17"/>
      <c r="C1050" s="18"/>
      <c r="D1050" s="24"/>
      <c r="J1050" s="22"/>
      <c r="K1050" s="22"/>
      <c r="L1050" s="23"/>
      <c r="M1050" s="23"/>
      <c r="N1050" s="23"/>
      <c r="O1050" s="23"/>
    </row>
    <row r="1051">
      <c r="A1051" s="16" t="str">
        <f t="shared" si="1"/>
        <v/>
      </c>
      <c r="B1051" s="17"/>
      <c r="C1051" s="18"/>
      <c r="D1051" s="24"/>
      <c r="J1051" s="22"/>
      <c r="K1051" s="22"/>
      <c r="L1051" s="23"/>
      <c r="M1051" s="23"/>
      <c r="N1051" s="23"/>
      <c r="O1051" s="23"/>
    </row>
    <row r="1052">
      <c r="A1052" s="16" t="str">
        <f t="shared" si="1"/>
        <v/>
      </c>
      <c r="B1052" s="17"/>
      <c r="C1052" s="18"/>
      <c r="D1052" s="24"/>
      <c r="J1052" s="22"/>
      <c r="K1052" s="22"/>
      <c r="L1052" s="23"/>
      <c r="M1052" s="23"/>
      <c r="N1052" s="23"/>
      <c r="O1052" s="23"/>
    </row>
    <row r="1053">
      <c r="A1053" s="16" t="str">
        <f t="shared" si="1"/>
        <v/>
      </c>
      <c r="B1053" s="17"/>
      <c r="C1053" s="18"/>
      <c r="D1053" s="24"/>
      <c r="J1053" s="22"/>
      <c r="K1053" s="22"/>
      <c r="L1053" s="23"/>
      <c r="M1053" s="23"/>
      <c r="N1053" s="23"/>
      <c r="O1053" s="23"/>
    </row>
    <row r="1054">
      <c r="A1054" s="16" t="str">
        <f t="shared" si="1"/>
        <v/>
      </c>
      <c r="B1054" s="17"/>
      <c r="C1054" s="18"/>
      <c r="D1054" s="24"/>
      <c r="J1054" s="22"/>
      <c r="K1054" s="22"/>
      <c r="L1054" s="23"/>
      <c r="M1054" s="23"/>
      <c r="N1054" s="23"/>
      <c r="O1054" s="23"/>
    </row>
    <row r="1055">
      <c r="A1055" s="16" t="str">
        <f t="shared" si="1"/>
        <v/>
      </c>
      <c r="B1055" s="17"/>
      <c r="C1055" s="18"/>
      <c r="D1055" s="24"/>
      <c r="J1055" s="22"/>
      <c r="K1055" s="22"/>
      <c r="L1055" s="23"/>
      <c r="M1055" s="23"/>
      <c r="N1055" s="23"/>
      <c r="O1055" s="23"/>
    </row>
    <row r="1056">
      <c r="A1056" s="16" t="str">
        <f t="shared" si="1"/>
        <v/>
      </c>
      <c r="B1056" s="17"/>
      <c r="C1056" s="18"/>
      <c r="D1056" s="24"/>
      <c r="J1056" s="22"/>
      <c r="K1056" s="22"/>
      <c r="L1056" s="23"/>
      <c r="M1056" s="23"/>
      <c r="N1056" s="23"/>
      <c r="O1056" s="23"/>
    </row>
    <row r="1057">
      <c r="A1057" s="16" t="str">
        <f t="shared" si="1"/>
        <v/>
      </c>
      <c r="B1057" s="17"/>
      <c r="C1057" s="18"/>
      <c r="D1057" s="24"/>
      <c r="J1057" s="22"/>
      <c r="K1057" s="22"/>
      <c r="L1057" s="23"/>
      <c r="M1057" s="23"/>
      <c r="N1057" s="23"/>
      <c r="O1057" s="23"/>
    </row>
    <row r="1058">
      <c r="A1058" s="16" t="str">
        <f t="shared" si="1"/>
        <v/>
      </c>
      <c r="B1058" s="17"/>
      <c r="C1058" s="18"/>
      <c r="D1058" s="24"/>
      <c r="J1058" s="22"/>
      <c r="K1058" s="22"/>
      <c r="L1058" s="23"/>
      <c r="M1058" s="23"/>
      <c r="N1058" s="23"/>
      <c r="O1058" s="23"/>
    </row>
    <row r="1059">
      <c r="A1059" s="16" t="str">
        <f t="shared" si="1"/>
        <v/>
      </c>
      <c r="B1059" s="17"/>
      <c r="C1059" s="18"/>
      <c r="D1059" s="24"/>
      <c r="J1059" s="22"/>
      <c r="K1059" s="22"/>
      <c r="L1059" s="23"/>
      <c r="M1059" s="23"/>
      <c r="N1059" s="23"/>
      <c r="O1059" s="23"/>
    </row>
    <row r="1060">
      <c r="A1060" s="16" t="str">
        <f t="shared" si="1"/>
        <v/>
      </c>
      <c r="B1060" s="17"/>
      <c r="C1060" s="18"/>
      <c r="D1060" s="24"/>
      <c r="J1060" s="22"/>
      <c r="K1060" s="22"/>
      <c r="L1060" s="23"/>
      <c r="M1060" s="23"/>
      <c r="N1060" s="23"/>
      <c r="O1060" s="23"/>
    </row>
    <row r="1061">
      <c r="A1061" s="16" t="str">
        <f t="shared" si="1"/>
        <v/>
      </c>
      <c r="B1061" s="17"/>
      <c r="C1061" s="18"/>
      <c r="D1061" s="24"/>
      <c r="J1061" s="22"/>
      <c r="K1061" s="22"/>
      <c r="L1061" s="23"/>
      <c r="M1061" s="23"/>
      <c r="N1061" s="23"/>
      <c r="O1061" s="23"/>
    </row>
    <row r="1062">
      <c r="A1062" s="16" t="str">
        <f t="shared" si="1"/>
        <v/>
      </c>
      <c r="B1062" s="17"/>
      <c r="C1062" s="18"/>
      <c r="D1062" s="24"/>
      <c r="J1062" s="22"/>
      <c r="K1062" s="22"/>
      <c r="L1062" s="23"/>
      <c r="M1062" s="23"/>
      <c r="N1062" s="23"/>
      <c r="O1062" s="23"/>
    </row>
    <row r="1063">
      <c r="A1063" s="16" t="str">
        <f t="shared" si="1"/>
        <v/>
      </c>
      <c r="B1063" s="17"/>
      <c r="C1063" s="18"/>
      <c r="D1063" s="24"/>
      <c r="J1063" s="22"/>
      <c r="K1063" s="22"/>
      <c r="L1063" s="23"/>
      <c r="M1063" s="23"/>
      <c r="N1063" s="23"/>
      <c r="O1063" s="23"/>
    </row>
    <row r="1064">
      <c r="A1064" s="16" t="str">
        <f t="shared" si="1"/>
        <v/>
      </c>
      <c r="B1064" s="17"/>
      <c r="C1064" s="18"/>
      <c r="D1064" s="24"/>
      <c r="J1064" s="22"/>
      <c r="K1064" s="22"/>
      <c r="L1064" s="23"/>
      <c r="M1064" s="23"/>
      <c r="N1064" s="23"/>
      <c r="O1064" s="23"/>
    </row>
    <row r="1065">
      <c r="A1065" s="16" t="str">
        <f t="shared" si="1"/>
        <v/>
      </c>
      <c r="B1065" s="17"/>
      <c r="C1065" s="18"/>
      <c r="D1065" s="24"/>
      <c r="J1065" s="22"/>
      <c r="K1065" s="22"/>
      <c r="L1065" s="23"/>
      <c r="M1065" s="23"/>
      <c r="N1065" s="23"/>
      <c r="O1065" s="23"/>
    </row>
    <row r="1066">
      <c r="A1066" s="16" t="str">
        <f t="shared" si="1"/>
        <v/>
      </c>
      <c r="B1066" s="17"/>
      <c r="C1066" s="18"/>
      <c r="D1066" s="24"/>
      <c r="J1066" s="22"/>
      <c r="K1066" s="22"/>
      <c r="L1066" s="23"/>
      <c r="M1066" s="23"/>
      <c r="N1066" s="23"/>
      <c r="O1066" s="23"/>
    </row>
    <row r="1067">
      <c r="A1067" s="16" t="str">
        <f t="shared" si="1"/>
        <v/>
      </c>
      <c r="B1067" s="17"/>
      <c r="C1067" s="18"/>
      <c r="D1067" s="24"/>
      <c r="J1067" s="22"/>
      <c r="K1067" s="22"/>
      <c r="L1067" s="23"/>
      <c r="M1067" s="23"/>
      <c r="N1067" s="23"/>
      <c r="O1067" s="23"/>
    </row>
    <row r="1068">
      <c r="A1068" s="16" t="str">
        <f t="shared" si="1"/>
        <v/>
      </c>
      <c r="B1068" s="17"/>
      <c r="C1068" s="18"/>
      <c r="D1068" s="24"/>
      <c r="J1068" s="22"/>
      <c r="K1068" s="22"/>
      <c r="L1068" s="23"/>
      <c r="M1068" s="23"/>
      <c r="N1068" s="23"/>
      <c r="O1068" s="23"/>
    </row>
    <row r="1069">
      <c r="A1069" s="16" t="str">
        <f t="shared" si="1"/>
        <v/>
      </c>
      <c r="B1069" s="17"/>
      <c r="C1069" s="18"/>
      <c r="D1069" s="24"/>
      <c r="J1069" s="22"/>
      <c r="K1069" s="22"/>
      <c r="L1069" s="23"/>
      <c r="M1069" s="23"/>
      <c r="N1069" s="23"/>
      <c r="O1069" s="23"/>
    </row>
    <row r="1070">
      <c r="A1070" s="16" t="str">
        <f t="shared" si="1"/>
        <v/>
      </c>
      <c r="B1070" s="17"/>
      <c r="C1070" s="18"/>
      <c r="D1070" s="24"/>
      <c r="J1070" s="22"/>
      <c r="K1070" s="22"/>
      <c r="L1070" s="23"/>
      <c r="M1070" s="23"/>
      <c r="N1070" s="23"/>
      <c r="O1070" s="23"/>
    </row>
    <row r="1071">
      <c r="A1071" s="16" t="str">
        <f t="shared" si="1"/>
        <v/>
      </c>
      <c r="B1071" s="17"/>
      <c r="C1071" s="18"/>
      <c r="D1071" s="24"/>
      <c r="J1071" s="22"/>
      <c r="K1071" s="22"/>
      <c r="L1071" s="23"/>
      <c r="M1071" s="23"/>
      <c r="N1071" s="23"/>
      <c r="O1071" s="23"/>
    </row>
    <row r="1072">
      <c r="A1072" s="16" t="str">
        <f t="shared" si="1"/>
        <v/>
      </c>
      <c r="B1072" s="17"/>
      <c r="C1072" s="18"/>
      <c r="D1072" s="24"/>
      <c r="J1072" s="22"/>
      <c r="K1072" s="22"/>
      <c r="L1072" s="23"/>
      <c r="M1072" s="23"/>
      <c r="N1072" s="23"/>
      <c r="O1072" s="23"/>
    </row>
    <row r="1073">
      <c r="A1073" s="16" t="str">
        <f t="shared" si="1"/>
        <v/>
      </c>
      <c r="B1073" s="17"/>
      <c r="C1073" s="18"/>
      <c r="D1073" s="24"/>
      <c r="J1073" s="22"/>
      <c r="K1073" s="22"/>
      <c r="L1073" s="23"/>
      <c r="M1073" s="23"/>
      <c r="N1073" s="23"/>
      <c r="O1073" s="23"/>
    </row>
    <row r="1074">
      <c r="A1074" s="16" t="str">
        <f t="shared" si="1"/>
        <v/>
      </c>
      <c r="B1074" s="17"/>
      <c r="C1074" s="18"/>
      <c r="D1074" s="24"/>
      <c r="J1074" s="22"/>
      <c r="K1074" s="22"/>
      <c r="L1074" s="23"/>
      <c r="M1074" s="23"/>
      <c r="N1074" s="23"/>
      <c r="O1074" s="23"/>
    </row>
    <row r="1075">
      <c r="A1075" s="16" t="str">
        <f t="shared" si="1"/>
        <v/>
      </c>
      <c r="B1075" s="17"/>
      <c r="C1075" s="18"/>
      <c r="D1075" s="24"/>
      <c r="J1075" s="22"/>
      <c r="K1075" s="22"/>
      <c r="L1075" s="23"/>
      <c r="M1075" s="23"/>
      <c r="N1075" s="23"/>
      <c r="O1075" s="23"/>
    </row>
    <row r="1076">
      <c r="A1076" s="16" t="str">
        <f t="shared" si="1"/>
        <v/>
      </c>
      <c r="B1076" s="17"/>
      <c r="C1076" s="18"/>
      <c r="D1076" s="24"/>
      <c r="J1076" s="22"/>
      <c r="K1076" s="22"/>
      <c r="L1076" s="23"/>
      <c r="M1076" s="23"/>
      <c r="N1076" s="23"/>
      <c r="O1076" s="23"/>
    </row>
    <row r="1077">
      <c r="A1077" s="16" t="str">
        <f t="shared" si="1"/>
        <v/>
      </c>
      <c r="B1077" s="17"/>
      <c r="C1077" s="18"/>
      <c r="D1077" s="24"/>
      <c r="J1077" s="22"/>
      <c r="K1077" s="22"/>
      <c r="L1077" s="23"/>
      <c r="M1077" s="23"/>
      <c r="N1077" s="23"/>
      <c r="O1077" s="23"/>
    </row>
    <row r="1078">
      <c r="A1078" s="16" t="str">
        <f t="shared" si="1"/>
        <v/>
      </c>
      <c r="B1078" s="17"/>
      <c r="C1078" s="18"/>
      <c r="D1078" s="24"/>
      <c r="J1078" s="22"/>
      <c r="K1078" s="22"/>
      <c r="L1078" s="23"/>
      <c r="M1078" s="23"/>
      <c r="N1078" s="23"/>
      <c r="O1078" s="23"/>
    </row>
    <row r="1079">
      <c r="A1079" s="16" t="str">
        <f t="shared" si="1"/>
        <v/>
      </c>
      <c r="B1079" s="17"/>
      <c r="C1079" s="18"/>
      <c r="D1079" s="24"/>
      <c r="J1079" s="22"/>
      <c r="K1079" s="22"/>
      <c r="L1079" s="23"/>
      <c r="M1079" s="23"/>
      <c r="N1079" s="23"/>
      <c r="O1079" s="23"/>
    </row>
    <row r="1080">
      <c r="A1080" s="16" t="str">
        <f t="shared" si="1"/>
        <v/>
      </c>
      <c r="B1080" s="17"/>
      <c r="C1080" s="18"/>
      <c r="D1080" s="24"/>
      <c r="J1080" s="22"/>
      <c r="K1080" s="22"/>
      <c r="L1080" s="23"/>
      <c r="M1080" s="23"/>
      <c r="N1080" s="23"/>
      <c r="O1080" s="23"/>
    </row>
    <row r="1081">
      <c r="A1081" s="16" t="str">
        <f t="shared" si="1"/>
        <v/>
      </c>
      <c r="B1081" s="17"/>
      <c r="C1081" s="18"/>
      <c r="D1081" s="24"/>
      <c r="J1081" s="22"/>
      <c r="K1081" s="22"/>
      <c r="L1081" s="23"/>
      <c r="M1081" s="23"/>
      <c r="N1081" s="23"/>
      <c r="O1081" s="23"/>
    </row>
    <row r="1082">
      <c r="A1082" s="16" t="str">
        <f t="shared" si="1"/>
        <v/>
      </c>
      <c r="B1082" s="17"/>
      <c r="C1082" s="18"/>
      <c r="D1082" s="24"/>
      <c r="J1082" s="22"/>
      <c r="K1082" s="22"/>
      <c r="L1082" s="23"/>
      <c r="M1082" s="23"/>
      <c r="N1082" s="23"/>
      <c r="O1082" s="23"/>
    </row>
    <row r="1083">
      <c r="A1083" s="16" t="str">
        <f t="shared" si="1"/>
        <v/>
      </c>
      <c r="B1083" s="17"/>
      <c r="C1083" s="18"/>
      <c r="D1083" s="24"/>
      <c r="J1083" s="22"/>
      <c r="K1083" s="22"/>
      <c r="L1083" s="23"/>
      <c r="M1083" s="23"/>
      <c r="N1083" s="23"/>
      <c r="O1083" s="23"/>
    </row>
    <row r="1084">
      <c r="A1084" s="16" t="str">
        <f t="shared" si="1"/>
        <v/>
      </c>
      <c r="B1084" s="17"/>
      <c r="C1084" s="18"/>
      <c r="D1084" s="24"/>
      <c r="J1084" s="22"/>
      <c r="K1084" s="22"/>
      <c r="L1084" s="23"/>
      <c r="M1084" s="23"/>
      <c r="N1084" s="23"/>
      <c r="O1084" s="23"/>
    </row>
    <row r="1085">
      <c r="A1085" s="16" t="str">
        <f t="shared" si="1"/>
        <v/>
      </c>
      <c r="B1085" s="17"/>
      <c r="C1085" s="18"/>
      <c r="D1085" s="24"/>
      <c r="J1085" s="22"/>
      <c r="K1085" s="22"/>
      <c r="L1085" s="23"/>
      <c r="M1085" s="23"/>
      <c r="N1085" s="23"/>
      <c r="O1085" s="23"/>
    </row>
    <row r="1086">
      <c r="A1086" s="16" t="str">
        <f t="shared" si="1"/>
        <v/>
      </c>
      <c r="B1086" s="17"/>
      <c r="C1086" s="18"/>
      <c r="D1086" s="24"/>
      <c r="J1086" s="22"/>
      <c r="K1086" s="22"/>
      <c r="L1086" s="23"/>
      <c r="M1086" s="23"/>
      <c r="N1086" s="23"/>
      <c r="O1086" s="23"/>
    </row>
    <row r="1087">
      <c r="A1087" s="16" t="str">
        <f t="shared" si="1"/>
        <v/>
      </c>
      <c r="B1087" s="17"/>
      <c r="C1087" s="18"/>
      <c r="D1087" s="24"/>
      <c r="J1087" s="22"/>
      <c r="K1087" s="22"/>
      <c r="L1087" s="23"/>
      <c r="M1087" s="23"/>
      <c r="N1087" s="23"/>
      <c r="O1087" s="23"/>
    </row>
    <row r="1088">
      <c r="A1088" s="16" t="str">
        <f t="shared" si="1"/>
        <v/>
      </c>
      <c r="B1088" s="17"/>
      <c r="C1088" s="18"/>
      <c r="D1088" s="24"/>
      <c r="J1088" s="22"/>
      <c r="K1088" s="22"/>
      <c r="L1088" s="23"/>
      <c r="M1088" s="23"/>
      <c r="N1088" s="23"/>
      <c r="O1088" s="23"/>
    </row>
    <row r="1089">
      <c r="A1089" s="16" t="str">
        <f t="shared" si="1"/>
        <v/>
      </c>
      <c r="B1089" s="17"/>
      <c r="C1089" s="18"/>
      <c r="D1089" s="24"/>
      <c r="J1089" s="22"/>
      <c r="K1089" s="22"/>
      <c r="L1089" s="23"/>
      <c r="M1089" s="23"/>
      <c r="N1089" s="23"/>
      <c r="O1089" s="23"/>
    </row>
    <row r="1090">
      <c r="A1090" s="16" t="str">
        <f t="shared" si="1"/>
        <v/>
      </c>
      <c r="B1090" s="17"/>
      <c r="C1090" s="18"/>
      <c r="D1090" s="24"/>
      <c r="J1090" s="22"/>
      <c r="K1090" s="22"/>
      <c r="L1090" s="23"/>
      <c r="M1090" s="23"/>
      <c r="N1090" s="23"/>
      <c r="O1090" s="23"/>
    </row>
    <row r="1091">
      <c r="A1091" s="16" t="str">
        <f t="shared" si="1"/>
        <v/>
      </c>
      <c r="B1091" s="17"/>
      <c r="C1091" s="18"/>
      <c r="D1091" s="24"/>
      <c r="J1091" s="22"/>
      <c r="K1091" s="22"/>
      <c r="L1091" s="23"/>
      <c r="M1091" s="23"/>
      <c r="N1091" s="23"/>
      <c r="O1091" s="23"/>
    </row>
    <row r="1092">
      <c r="A1092" s="16" t="str">
        <f t="shared" si="1"/>
        <v/>
      </c>
      <c r="B1092" s="17"/>
      <c r="C1092" s="18"/>
      <c r="D1092" s="24"/>
      <c r="J1092" s="22"/>
      <c r="K1092" s="22"/>
      <c r="L1092" s="23"/>
      <c r="M1092" s="23"/>
      <c r="N1092" s="23"/>
      <c r="O1092" s="23"/>
    </row>
    <row r="1093">
      <c r="A1093" s="16" t="str">
        <f t="shared" si="1"/>
        <v/>
      </c>
      <c r="B1093" s="17"/>
      <c r="C1093" s="18"/>
      <c r="D1093" s="24"/>
      <c r="J1093" s="22"/>
      <c r="K1093" s="22"/>
      <c r="L1093" s="23"/>
      <c r="M1093" s="23"/>
      <c r="N1093" s="23"/>
      <c r="O1093" s="23"/>
    </row>
    <row r="1094">
      <c r="A1094" s="16" t="str">
        <f t="shared" si="1"/>
        <v/>
      </c>
      <c r="B1094" s="17"/>
      <c r="C1094" s="18"/>
      <c r="D1094" s="24"/>
      <c r="J1094" s="22"/>
      <c r="K1094" s="22"/>
      <c r="L1094" s="23"/>
      <c r="M1094" s="23"/>
      <c r="N1094" s="23"/>
      <c r="O1094" s="23"/>
    </row>
    <row r="1095">
      <c r="A1095" s="16" t="str">
        <f t="shared" si="1"/>
        <v/>
      </c>
      <c r="B1095" s="17"/>
      <c r="C1095" s="18"/>
      <c r="D1095" s="24"/>
      <c r="J1095" s="22"/>
      <c r="K1095" s="22"/>
      <c r="L1095" s="23"/>
      <c r="M1095" s="23"/>
      <c r="N1095" s="23"/>
      <c r="O1095" s="23"/>
    </row>
    <row r="1096">
      <c r="A1096" s="16" t="str">
        <f t="shared" si="1"/>
        <v/>
      </c>
      <c r="B1096" s="17"/>
      <c r="C1096" s="18"/>
      <c r="D1096" s="24"/>
      <c r="J1096" s="22"/>
      <c r="K1096" s="22"/>
      <c r="L1096" s="23"/>
      <c r="M1096" s="23"/>
      <c r="N1096" s="23"/>
      <c r="O1096" s="23"/>
    </row>
    <row r="1097">
      <c r="A1097" s="16" t="str">
        <f t="shared" si="1"/>
        <v/>
      </c>
      <c r="B1097" s="17"/>
      <c r="C1097" s="18"/>
      <c r="D1097" s="24"/>
      <c r="J1097" s="22"/>
      <c r="K1097" s="22"/>
      <c r="L1097" s="23"/>
      <c r="M1097" s="23"/>
      <c r="N1097" s="23"/>
      <c r="O1097" s="23"/>
    </row>
    <row r="1098">
      <c r="A1098" s="16" t="str">
        <f t="shared" si="1"/>
        <v/>
      </c>
      <c r="B1098" s="17"/>
      <c r="C1098" s="18"/>
      <c r="D1098" s="24"/>
      <c r="J1098" s="22"/>
      <c r="K1098" s="22"/>
      <c r="L1098" s="23"/>
      <c r="M1098" s="23"/>
      <c r="N1098" s="23"/>
      <c r="O1098" s="23"/>
    </row>
    <row r="1099">
      <c r="A1099" s="16" t="str">
        <f t="shared" si="1"/>
        <v/>
      </c>
      <c r="B1099" s="17"/>
      <c r="C1099" s="18"/>
      <c r="D1099" s="24"/>
      <c r="J1099" s="22"/>
      <c r="K1099" s="22"/>
      <c r="L1099" s="23"/>
      <c r="M1099" s="23"/>
      <c r="N1099" s="23"/>
      <c r="O1099" s="23"/>
    </row>
    <row r="1100">
      <c r="A1100" s="16" t="str">
        <f t="shared" si="1"/>
        <v/>
      </c>
      <c r="B1100" s="17"/>
      <c r="C1100" s="18"/>
      <c r="D1100" s="24"/>
      <c r="J1100" s="22"/>
      <c r="K1100" s="22"/>
      <c r="L1100" s="23"/>
      <c r="M1100" s="23"/>
      <c r="N1100" s="23"/>
      <c r="O1100" s="23"/>
    </row>
    <row r="1101">
      <c r="A1101" s="16" t="str">
        <f t="shared" si="1"/>
        <v/>
      </c>
      <c r="B1101" s="17"/>
      <c r="C1101" s="18"/>
      <c r="D1101" s="24"/>
      <c r="J1101" s="22"/>
      <c r="K1101" s="22"/>
      <c r="L1101" s="23"/>
      <c r="M1101" s="23"/>
      <c r="N1101" s="23"/>
      <c r="O1101" s="23"/>
    </row>
    <row r="1102">
      <c r="A1102" s="16" t="str">
        <f t="shared" si="1"/>
        <v/>
      </c>
      <c r="B1102" s="17"/>
      <c r="C1102" s="18"/>
      <c r="D1102" s="24"/>
      <c r="J1102" s="22"/>
      <c r="K1102" s="22"/>
      <c r="L1102" s="23"/>
      <c r="M1102" s="23"/>
      <c r="N1102" s="23"/>
      <c r="O1102" s="23"/>
    </row>
    <row r="1103">
      <c r="A1103" s="16" t="str">
        <f t="shared" si="1"/>
        <v/>
      </c>
      <c r="B1103" s="17"/>
      <c r="C1103" s="18"/>
      <c r="D1103" s="24"/>
      <c r="J1103" s="22"/>
      <c r="K1103" s="22"/>
      <c r="L1103" s="23"/>
      <c r="M1103" s="23"/>
      <c r="N1103" s="23"/>
      <c r="O1103" s="23"/>
    </row>
    <row r="1104">
      <c r="A1104" s="16" t="str">
        <f t="shared" si="1"/>
        <v/>
      </c>
      <c r="B1104" s="17"/>
      <c r="C1104" s="18"/>
      <c r="D1104" s="24"/>
      <c r="J1104" s="22"/>
      <c r="K1104" s="22"/>
      <c r="L1104" s="23"/>
      <c r="M1104" s="23"/>
      <c r="N1104" s="23"/>
      <c r="O1104" s="23"/>
    </row>
    <row r="1105">
      <c r="A1105" s="16" t="str">
        <f t="shared" si="1"/>
        <v/>
      </c>
      <c r="B1105" s="17"/>
      <c r="C1105" s="18"/>
      <c r="D1105" s="24"/>
      <c r="J1105" s="22"/>
      <c r="K1105" s="22"/>
      <c r="L1105" s="23"/>
      <c r="M1105" s="23"/>
      <c r="N1105" s="23"/>
      <c r="O1105" s="23"/>
    </row>
    <row r="1106">
      <c r="A1106" s="16" t="str">
        <f t="shared" si="1"/>
        <v/>
      </c>
      <c r="B1106" s="17"/>
      <c r="C1106" s="18"/>
      <c r="D1106" s="24"/>
      <c r="J1106" s="22"/>
      <c r="K1106" s="22"/>
      <c r="L1106" s="23"/>
      <c r="M1106" s="23"/>
      <c r="N1106" s="23"/>
      <c r="O1106" s="23"/>
    </row>
    <row r="1107">
      <c r="A1107" s="16" t="str">
        <f t="shared" si="1"/>
        <v/>
      </c>
      <c r="B1107" s="17"/>
      <c r="C1107" s="18"/>
      <c r="D1107" s="24"/>
      <c r="J1107" s="22"/>
      <c r="K1107" s="22"/>
      <c r="L1107" s="23"/>
      <c r="M1107" s="23"/>
      <c r="N1107" s="23"/>
      <c r="O1107" s="23"/>
    </row>
    <row r="1108">
      <c r="A1108" s="16" t="str">
        <f t="shared" si="1"/>
        <v/>
      </c>
      <c r="B1108" s="17"/>
      <c r="C1108" s="18"/>
      <c r="D1108" s="24"/>
      <c r="J1108" s="22"/>
      <c r="K1108" s="22"/>
      <c r="L1108" s="23"/>
      <c r="M1108" s="23"/>
      <c r="N1108" s="23"/>
      <c r="O1108" s="23"/>
    </row>
    <row r="1109">
      <c r="A1109" s="16" t="str">
        <f t="shared" si="1"/>
        <v/>
      </c>
      <c r="B1109" s="17"/>
      <c r="C1109" s="18"/>
      <c r="D1109" s="24"/>
      <c r="J1109" s="22"/>
      <c r="K1109" s="22"/>
      <c r="L1109" s="23"/>
      <c r="M1109" s="23"/>
      <c r="N1109" s="23"/>
      <c r="O1109" s="23"/>
    </row>
    <row r="1110">
      <c r="A1110" s="16" t="str">
        <f t="shared" si="1"/>
        <v/>
      </c>
      <c r="B1110" s="17"/>
      <c r="C1110" s="18"/>
      <c r="D1110" s="24"/>
      <c r="J1110" s="22"/>
      <c r="K1110" s="22"/>
      <c r="L1110" s="23"/>
      <c r="M1110" s="23"/>
      <c r="N1110" s="23"/>
      <c r="O1110" s="23"/>
    </row>
    <row r="1111">
      <c r="A1111" s="16" t="str">
        <f t="shared" si="1"/>
        <v/>
      </c>
      <c r="B1111" s="17"/>
      <c r="C1111" s="18"/>
      <c r="D1111" s="24"/>
      <c r="J1111" s="22"/>
      <c r="K1111" s="22"/>
      <c r="L1111" s="23"/>
      <c r="M1111" s="23"/>
      <c r="N1111" s="23"/>
      <c r="O1111" s="23"/>
    </row>
    <row r="1112">
      <c r="A1112" s="16" t="str">
        <f t="shared" si="1"/>
        <v/>
      </c>
      <c r="B1112" s="17"/>
      <c r="C1112" s="18"/>
      <c r="D1112" s="24"/>
      <c r="J1112" s="22"/>
      <c r="K1112" s="22"/>
      <c r="L1112" s="23"/>
      <c r="M1112" s="23"/>
      <c r="N1112" s="23"/>
      <c r="O1112" s="23"/>
    </row>
    <row r="1113">
      <c r="A1113" s="16" t="str">
        <f t="shared" si="1"/>
        <v/>
      </c>
      <c r="B1113" s="17"/>
      <c r="C1113" s="18"/>
      <c r="D1113" s="24"/>
      <c r="J1113" s="22"/>
      <c r="K1113" s="22"/>
      <c r="L1113" s="23"/>
      <c r="M1113" s="23"/>
      <c r="N1113" s="23"/>
      <c r="O1113" s="23"/>
    </row>
    <row r="1114">
      <c r="A1114" s="16" t="str">
        <f t="shared" si="1"/>
        <v/>
      </c>
      <c r="B1114" s="17"/>
      <c r="C1114" s="18"/>
      <c r="D1114" s="24"/>
      <c r="J1114" s="22"/>
      <c r="K1114" s="22"/>
      <c r="L1114" s="23"/>
      <c r="M1114" s="23"/>
      <c r="N1114" s="23"/>
      <c r="O1114" s="23"/>
    </row>
    <row r="1115">
      <c r="A1115" s="16" t="str">
        <f t="shared" si="1"/>
        <v/>
      </c>
      <c r="B1115" s="17"/>
      <c r="C1115" s="18"/>
      <c r="D1115" s="24"/>
      <c r="J1115" s="22"/>
      <c r="K1115" s="22"/>
      <c r="L1115" s="23"/>
      <c r="M1115" s="23"/>
      <c r="N1115" s="23"/>
      <c r="O1115" s="23"/>
    </row>
    <row r="1116">
      <c r="A1116" s="16" t="str">
        <f t="shared" si="1"/>
        <v/>
      </c>
      <c r="B1116" s="17"/>
      <c r="C1116" s="18"/>
      <c r="D1116" s="24"/>
      <c r="J1116" s="22"/>
      <c r="K1116" s="22"/>
      <c r="L1116" s="23"/>
      <c r="M1116" s="23"/>
      <c r="N1116" s="23"/>
      <c r="O1116" s="23"/>
    </row>
    <row r="1117">
      <c r="A1117" s="16" t="str">
        <f t="shared" si="1"/>
        <v/>
      </c>
      <c r="B1117" s="17"/>
      <c r="C1117" s="18"/>
      <c r="D1117" s="24"/>
      <c r="J1117" s="22"/>
      <c r="K1117" s="22"/>
      <c r="L1117" s="23"/>
      <c r="M1117" s="23"/>
      <c r="N1117" s="23"/>
      <c r="O1117" s="23"/>
    </row>
    <row r="1118">
      <c r="A1118" s="16" t="str">
        <f t="shared" si="1"/>
        <v/>
      </c>
      <c r="B1118" s="17"/>
      <c r="C1118" s="18"/>
      <c r="D1118" s="24"/>
      <c r="J1118" s="22"/>
      <c r="K1118" s="22"/>
      <c r="L1118" s="23"/>
      <c r="M1118" s="23"/>
      <c r="N1118" s="23"/>
      <c r="O1118" s="23"/>
    </row>
    <row r="1119">
      <c r="A1119" s="16" t="str">
        <f t="shared" si="1"/>
        <v/>
      </c>
      <c r="B1119" s="17"/>
      <c r="C1119" s="18"/>
      <c r="D1119" s="24"/>
      <c r="J1119" s="22"/>
      <c r="K1119" s="22"/>
      <c r="L1119" s="23"/>
      <c r="M1119" s="23"/>
      <c r="N1119" s="23"/>
      <c r="O1119" s="23"/>
    </row>
    <row r="1120">
      <c r="A1120" s="16" t="str">
        <f t="shared" si="1"/>
        <v/>
      </c>
      <c r="B1120" s="17"/>
      <c r="C1120" s="18"/>
      <c r="D1120" s="24"/>
      <c r="J1120" s="22"/>
      <c r="K1120" s="22"/>
      <c r="L1120" s="23"/>
      <c r="M1120" s="23"/>
      <c r="N1120" s="23"/>
      <c r="O1120" s="23"/>
    </row>
    <row r="1121">
      <c r="A1121" s="16" t="str">
        <f t="shared" si="1"/>
        <v/>
      </c>
      <c r="B1121" s="17"/>
      <c r="C1121" s="18"/>
      <c r="D1121" s="24"/>
      <c r="J1121" s="22"/>
      <c r="K1121" s="22"/>
      <c r="L1121" s="23"/>
      <c r="M1121" s="23"/>
      <c r="N1121" s="23"/>
      <c r="O1121" s="23"/>
    </row>
    <row r="1122">
      <c r="A1122" s="16" t="str">
        <f t="shared" si="1"/>
        <v/>
      </c>
      <c r="B1122" s="17"/>
      <c r="C1122" s="18"/>
      <c r="D1122" s="24"/>
      <c r="J1122" s="22"/>
      <c r="K1122" s="22"/>
      <c r="L1122" s="23"/>
      <c r="M1122" s="23"/>
      <c r="N1122" s="23"/>
      <c r="O1122" s="23"/>
    </row>
    <row r="1123">
      <c r="A1123" s="16" t="str">
        <f t="shared" si="1"/>
        <v/>
      </c>
      <c r="B1123" s="17"/>
      <c r="C1123" s="18"/>
      <c r="D1123" s="24"/>
      <c r="J1123" s="22"/>
      <c r="K1123" s="22"/>
      <c r="L1123" s="23"/>
      <c r="M1123" s="23"/>
      <c r="N1123" s="23"/>
      <c r="O1123" s="23"/>
    </row>
    <row r="1124">
      <c r="A1124" s="16" t="str">
        <f t="shared" si="1"/>
        <v/>
      </c>
      <c r="B1124" s="17"/>
      <c r="C1124" s="18"/>
      <c r="D1124" s="24"/>
      <c r="J1124" s="22"/>
      <c r="K1124" s="22"/>
      <c r="L1124" s="23"/>
      <c r="M1124" s="23"/>
      <c r="N1124" s="23"/>
      <c r="O1124" s="23"/>
    </row>
    <row r="1125">
      <c r="A1125" s="16" t="str">
        <f t="shared" si="1"/>
        <v/>
      </c>
      <c r="B1125" s="17"/>
      <c r="C1125" s="18"/>
      <c r="D1125" s="24"/>
      <c r="J1125" s="22"/>
      <c r="K1125" s="22"/>
      <c r="L1125" s="23"/>
      <c r="M1125" s="23"/>
      <c r="N1125" s="23"/>
      <c r="O1125" s="23"/>
    </row>
    <row r="1126">
      <c r="A1126" s="16" t="str">
        <f t="shared" si="1"/>
        <v/>
      </c>
      <c r="B1126" s="17"/>
      <c r="C1126" s="18"/>
      <c r="D1126" s="24"/>
      <c r="J1126" s="22"/>
      <c r="K1126" s="22"/>
      <c r="L1126" s="23"/>
      <c r="M1126" s="23"/>
      <c r="N1126" s="23"/>
      <c r="O1126" s="23"/>
    </row>
    <row r="1127">
      <c r="A1127" s="16" t="str">
        <f t="shared" si="1"/>
        <v/>
      </c>
      <c r="B1127" s="17"/>
      <c r="C1127" s="18"/>
      <c r="D1127" s="24"/>
      <c r="J1127" s="22"/>
      <c r="K1127" s="22"/>
      <c r="L1127" s="23"/>
      <c r="M1127" s="23"/>
      <c r="N1127" s="23"/>
      <c r="O1127" s="23"/>
    </row>
    <row r="1128">
      <c r="A1128" s="16" t="str">
        <f t="shared" si="1"/>
        <v/>
      </c>
      <c r="B1128" s="17"/>
      <c r="C1128" s="18"/>
      <c r="D1128" s="24"/>
      <c r="J1128" s="22"/>
      <c r="K1128" s="22"/>
      <c r="L1128" s="23"/>
      <c r="M1128" s="23"/>
      <c r="N1128" s="23"/>
      <c r="O1128" s="23"/>
    </row>
    <row r="1129">
      <c r="A1129" s="16" t="str">
        <f t="shared" si="1"/>
        <v/>
      </c>
      <c r="B1129" s="17"/>
      <c r="C1129" s="18"/>
      <c r="D1129" s="24"/>
      <c r="J1129" s="22"/>
      <c r="K1129" s="22"/>
      <c r="L1129" s="23"/>
      <c r="M1129" s="23"/>
      <c r="N1129" s="23"/>
      <c r="O1129" s="23"/>
    </row>
    <row r="1130">
      <c r="A1130" s="16" t="str">
        <f t="shared" si="1"/>
        <v/>
      </c>
      <c r="B1130" s="17"/>
      <c r="C1130" s="18"/>
      <c r="D1130" s="24"/>
      <c r="J1130" s="22"/>
      <c r="K1130" s="22"/>
      <c r="L1130" s="23"/>
      <c r="M1130" s="23"/>
      <c r="N1130" s="23"/>
      <c r="O1130" s="23"/>
    </row>
    <row r="1131">
      <c r="A1131" s="16" t="str">
        <f t="shared" si="1"/>
        <v/>
      </c>
      <c r="B1131" s="17"/>
      <c r="C1131" s="18"/>
      <c r="D1131" s="24"/>
      <c r="J1131" s="22"/>
      <c r="K1131" s="22"/>
      <c r="L1131" s="23"/>
      <c r="M1131" s="23"/>
      <c r="N1131" s="23"/>
      <c r="O1131" s="23"/>
    </row>
    <row r="1132">
      <c r="A1132" s="16" t="str">
        <f t="shared" si="1"/>
        <v/>
      </c>
      <c r="B1132" s="17"/>
      <c r="C1132" s="18"/>
      <c r="D1132" s="24"/>
      <c r="J1132" s="22"/>
      <c r="K1132" s="22"/>
      <c r="L1132" s="23"/>
      <c r="M1132" s="23"/>
      <c r="N1132" s="23"/>
      <c r="O1132" s="23"/>
    </row>
    <row r="1133">
      <c r="A1133" s="16" t="str">
        <f t="shared" si="1"/>
        <v/>
      </c>
      <c r="B1133" s="17"/>
      <c r="C1133" s="18"/>
      <c r="D1133" s="24"/>
      <c r="J1133" s="22"/>
      <c r="K1133" s="22"/>
      <c r="L1133" s="23"/>
      <c r="M1133" s="23"/>
      <c r="N1133" s="23"/>
      <c r="O1133" s="23"/>
    </row>
    <row r="1134">
      <c r="A1134" s="16" t="str">
        <f t="shared" si="1"/>
        <v/>
      </c>
      <c r="B1134" s="17"/>
      <c r="C1134" s="18"/>
      <c r="D1134" s="24"/>
      <c r="J1134" s="22"/>
      <c r="K1134" s="22"/>
      <c r="L1134" s="23"/>
      <c r="M1134" s="23"/>
      <c r="N1134" s="23"/>
      <c r="O1134" s="23"/>
    </row>
    <row r="1135">
      <c r="A1135" s="16" t="str">
        <f t="shared" si="1"/>
        <v/>
      </c>
      <c r="B1135" s="17"/>
      <c r="C1135" s="18"/>
      <c r="D1135" s="24"/>
      <c r="J1135" s="22"/>
      <c r="K1135" s="22"/>
      <c r="L1135" s="23"/>
      <c r="M1135" s="23"/>
      <c r="N1135" s="23"/>
      <c r="O1135" s="23"/>
    </row>
    <row r="1136">
      <c r="A1136" s="16" t="str">
        <f t="shared" si="1"/>
        <v/>
      </c>
      <c r="B1136" s="17"/>
      <c r="C1136" s="18"/>
      <c r="D1136" s="24"/>
      <c r="J1136" s="22"/>
      <c r="K1136" s="22"/>
      <c r="L1136" s="23"/>
      <c r="M1136" s="23"/>
      <c r="N1136" s="23"/>
      <c r="O1136" s="23"/>
    </row>
    <row r="1137">
      <c r="A1137" s="16" t="str">
        <f t="shared" si="1"/>
        <v/>
      </c>
      <c r="B1137" s="17"/>
      <c r="C1137" s="18"/>
      <c r="D1137" s="24"/>
      <c r="J1137" s="22"/>
      <c r="K1137" s="22"/>
      <c r="L1137" s="23"/>
      <c r="M1137" s="23"/>
      <c r="N1137" s="23"/>
      <c r="O1137" s="23"/>
    </row>
    <row r="1138">
      <c r="A1138" s="16" t="str">
        <f t="shared" si="1"/>
        <v/>
      </c>
      <c r="B1138" s="17"/>
      <c r="C1138" s="18"/>
      <c r="D1138" s="24"/>
      <c r="J1138" s="22"/>
      <c r="K1138" s="22"/>
      <c r="L1138" s="23"/>
      <c r="M1138" s="23"/>
      <c r="N1138" s="23"/>
      <c r="O1138" s="23"/>
    </row>
    <row r="1139">
      <c r="A1139" s="16" t="str">
        <f t="shared" si="1"/>
        <v/>
      </c>
      <c r="B1139" s="17"/>
      <c r="C1139" s="18"/>
      <c r="D1139" s="24"/>
      <c r="J1139" s="22"/>
      <c r="K1139" s="22"/>
      <c r="L1139" s="23"/>
      <c r="M1139" s="23"/>
      <c r="N1139" s="23"/>
      <c r="O1139" s="23"/>
    </row>
    <row r="1140">
      <c r="A1140" s="16" t="str">
        <f t="shared" si="1"/>
        <v/>
      </c>
      <c r="B1140" s="17"/>
      <c r="C1140" s="18"/>
      <c r="D1140" s="24"/>
      <c r="J1140" s="22"/>
      <c r="K1140" s="22"/>
      <c r="L1140" s="23"/>
      <c r="M1140" s="23"/>
      <c r="N1140" s="23"/>
      <c r="O1140" s="23"/>
    </row>
    <row r="1141">
      <c r="A1141" s="16" t="str">
        <f t="shared" si="1"/>
        <v/>
      </c>
      <c r="B1141" s="17"/>
      <c r="C1141" s="18"/>
      <c r="D1141" s="24"/>
      <c r="J1141" s="22"/>
      <c r="K1141" s="22"/>
      <c r="L1141" s="23"/>
      <c r="M1141" s="23"/>
      <c r="N1141" s="23"/>
      <c r="O1141" s="23"/>
    </row>
    <row r="1142">
      <c r="A1142" s="16" t="str">
        <f t="shared" si="1"/>
        <v/>
      </c>
      <c r="B1142" s="17"/>
      <c r="C1142" s="18"/>
      <c r="D1142" s="24"/>
      <c r="J1142" s="22"/>
      <c r="K1142" s="22"/>
      <c r="L1142" s="23"/>
      <c r="M1142" s="23"/>
      <c r="N1142" s="23"/>
      <c r="O1142" s="23"/>
    </row>
    <row r="1143">
      <c r="A1143" s="16" t="str">
        <f t="shared" si="1"/>
        <v/>
      </c>
      <c r="B1143" s="17"/>
      <c r="C1143" s="18"/>
      <c r="D1143" s="24"/>
      <c r="J1143" s="22"/>
      <c r="K1143" s="22"/>
      <c r="L1143" s="23"/>
      <c r="M1143" s="23"/>
      <c r="N1143" s="23"/>
      <c r="O1143" s="23"/>
    </row>
    <row r="1144">
      <c r="A1144" s="16" t="str">
        <f t="shared" si="1"/>
        <v/>
      </c>
      <c r="B1144" s="17"/>
      <c r="C1144" s="18"/>
      <c r="D1144" s="24"/>
      <c r="J1144" s="22"/>
      <c r="K1144" s="22"/>
      <c r="L1144" s="23"/>
      <c r="M1144" s="23"/>
      <c r="N1144" s="23"/>
      <c r="O1144" s="23"/>
    </row>
    <row r="1145">
      <c r="A1145" s="16" t="str">
        <f t="shared" si="1"/>
        <v/>
      </c>
      <c r="B1145" s="17"/>
      <c r="C1145" s="18"/>
      <c r="D1145" s="24"/>
      <c r="J1145" s="22"/>
      <c r="K1145" s="22"/>
      <c r="L1145" s="23"/>
      <c r="M1145" s="23"/>
      <c r="N1145" s="23"/>
      <c r="O1145" s="23"/>
    </row>
    <row r="1146">
      <c r="A1146" s="16" t="str">
        <f t="shared" si="1"/>
        <v/>
      </c>
      <c r="B1146" s="17"/>
      <c r="C1146" s="18"/>
      <c r="D1146" s="24"/>
      <c r="J1146" s="22"/>
      <c r="K1146" s="22"/>
      <c r="L1146" s="23"/>
      <c r="M1146" s="23"/>
      <c r="N1146" s="23"/>
      <c r="O1146" s="23"/>
    </row>
    <row r="1147">
      <c r="A1147" s="16" t="str">
        <f t="shared" si="1"/>
        <v/>
      </c>
      <c r="B1147" s="17"/>
      <c r="C1147" s="18"/>
      <c r="D1147" s="24"/>
      <c r="J1147" s="22"/>
      <c r="K1147" s="22"/>
      <c r="L1147" s="23"/>
      <c r="M1147" s="23"/>
      <c r="N1147" s="23"/>
      <c r="O1147" s="23"/>
    </row>
    <row r="1148">
      <c r="A1148" s="16" t="str">
        <f t="shared" si="1"/>
        <v/>
      </c>
      <c r="B1148" s="17"/>
      <c r="C1148" s="18"/>
      <c r="D1148" s="24"/>
      <c r="J1148" s="22"/>
      <c r="K1148" s="22"/>
      <c r="L1148" s="23"/>
      <c r="M1148" s="23"/>
      <c r="N1148" s="23"/>
      <c r="O1148" s="23"/>
    </row>
    <row r="1149">
      <c r="A1149" s="16" t="str">
        <f t="shared" si="1"/>
        <v/>
      </c>
      <c r="B1149" s="17"/>
      <c r="C1149" s="18"/>
      <c r="D1149" s="24"/>
      <c r="J1149" s="22"/>
      <c r="K1149" s="22"/>
      <c r="L1149" s="23"/>
      <c r="M1149" s="23"/>
      <c r="N1149" s="23"/>
      <c r="O1149" s="23"/>
    </row>
    <row r="1150">
      <c r="A1150" s="16" t="str">
        <f t="shared" si="1"/>
        <v/>
      </c>
      <c r="B1150" s="17"/>
      <c r="C1150" s="18"/>
      <c r="D1150" s="24"/>
      <c r="J1150" s="22"/>
      <c r="K1150" s="22"/>
      <c r="L1150" s="23"/>
      <c r="M1150" s="23"/>
      <c r="N1150" s="23"/>
      <c r="O1150" s="23"/>
    </row>
    <row r="1151">
      <c r="A1151" s="16" t="str">
        <f t="shared" si="1"/>
        <v/>
      </c>
      <c r="B1151" s="17"/>
      <c r="C1151" s="18"/>
      <c r="D1151" s="24"/>
      <c r="J1151" s="22"/>
      <c r="K1151" s="22"/>
      <c r="L1151" s="23"/>
      <c r="M1151" s="23"/>
      <c r="N1151" s="23"/>
      <c r="O1151" s="23"/>
    </row>
    <row r="1152">
      <c r="A1152" s="16" t="str">
        <f t="shared" si="1"/>
        <v/>
      </c>
      <c r="B1152" s="17"/>
      <c r="C1152" s="18"/>
      <c r="D1152" s="24"/>
      <c r="J1152" s="22"/>
      <c r="K1152" s="22"/>
      <c r="L1152" s="23"/>
      <c r="M1152" s="23"/>
      <c r="N1152" s="23"/>
      <c r="O1152" s="23"/>
    </row>
    <row r="1153">
      <c r="A1153" s="16" t="str">
        <f t="shared" si="1"/>
        <v/>
      </c>
      <c r="B1153" s="17"/>
      <c r="C1153" s="18"/>
      <c r="D1153" s="24"/>
      <c r="J1153" s="22"/>
      <c r="K1153" s="22"/>
      <c r="L1153" s="23"/>
      <c r="M1153" s="23"/>
      <c r="N1153" s="23"/>
      <c r="O1153" s="23"/>
    </row>
    <row r="1154">
      <c r="A1154" s="16" t="str">
        <f t="shared" si="1"/>
        <v/>
      </c>
      <c r="B1154" s="17"/>
      <c r="C1154" s="18"/>
      <c r="D1154" s="24"/>
      <c r="J1154" s="22"/>
      <c r="K1154" s="22"/>
      <c r="L1154" s="23"/>
      <c r="M1154" s="23"/>
      <c r="N1154" s="23"/>
      <c r="O1154" s="23"/>
    </row>
    <row r="1155">
      <c r="A1155" s="16" t="str">
        <f t="shared" si="1"/>
        <v/>
      </c>
      <c r="B1155" s="17"/>
      <c r="C1155" s="18"/>
      <c r="D1155" s="24"/>
      <c r="J1155" s="22"/>
      <c r="K1155" s="22"/>
      <c r="L1155" s="23"/>
      <c r="M1155" s="23"/>
      <c r="N1155" s="23"/>
      <c r="O1155" s="23"/>
    </row>
    <row r="1156">
      <c r="A1156" s="16" t="str">
        <f t="shared" si="1"/>
        <v/>
      </c>
      <c r="B1156" s="17"/>
      <c r="C1156" s="18"/>
      <c r="D1156" s="24"/>
      <c r="J1156" s="22"/>
      <c r="K1156" s="22"/>
      <c r="L1156" s="23"/>
      <c r="M1156" s="23"/>
      <c r="N1156" s="23"/>
      <c r="O1156" s="23"/>
    </row>
    <row r="1157">
      <c r="A1157" s="16" t="str">
        <f t="shared" si="1"/>
        <v/>
      </c>
      <c r="B1157" s="17"/>
      <c r="C1157" s="18"/>
      <c r="D1157" s="24"/>
      <c r="J1157" s="22"/>
      <c r="K1157" s="22"/>
      <c r="L1157" s="23"/>
      <c r="M1157" s="23"/>
      <c r="N1157" s="23"/>
      <c r="O1157" s="23"/>
    </row>
    <row r="1158">
      <c r="A1158" s="16" t="str">
        <f t="shared" si="1"/>
        <v/>
      </c>
      <c r="B1158" s="17"/>
      <c r="C1158" s="18"/>
      <c r="D1158" s="24"/>
      <c r="J1158" s="22"/>
      <c r="K1158" s="22"/>
      <c r="L1158" s="23"/>
      <c r="M1158" s="23"/>
      <c r="N1158" s="23"/>
      <c r="O1158" s="23"/>
    </row>
    <row r="1159">
      <c r="A1159" s="16" t="str">
        <f t="shared" si="1"/>
        <v/>
      </c>
      <c r="B1159" s="17"/>
      <c r="C1159" s="18"/>
      <c r="D1159" s="24"/>
      <c r="J1159" s="22"/>
      <c r="K1159" s="22"/>
      <c r="L1159" s="23"/>
      <c r="M1159" s="23"/>
      <c r="N1159" s="23"/>
      <c r="O1159" s="23"/>
    </row>
    <row r="1160">
      <c r="A1160" s="16" t="str">
        <f t="shared" si="1"/>
        <v/>
      </c>
      <c r="B1160" s="17"/>
      <c r="C1160" s="18"/>
      <c r="D1160" s="24"/>
      <c r="J1160" s="22"/>
      <c r="K1160" s="22"/>
      <c r="L1160" s="23"/>
      <c r="M1160" s="23"/>
      <c r="N1160" s="23"/>
      <c r="O1160" s="23"/>
    </row>
    <row r="1161">
      <c r="A1161" s="16" t="str">
        <f t="shared" si="1"/>
        <v/>
      </c>
      <c r="B1161" s="17"/>
      <c r="C1161" s="18"/>
      <c r="D1161" s="24"/>
      <c r="J1161" s="22"/>
      <c r="K1161" s="22"/>
      <c r="L1161" s="23"/>
      <c r="M1161" s="23"/>
      <c r="N1161" s="23"/>
      <c r="O1161" s="23"/>
    </row>
    <row r="1162">
      <c r="A1162" s="16" t="str">
        <f t="shared" si="1"/>
        <v/>
      </c>
      <c r="B1162" s="17"/>
      <c r="C1162" s="18"/>
      <c r="D1162" s="24"/>
      <c r="J1162" s="22"/>
      <c r="K1162" s="22"/>
      <c r="L1162" s="23"/>
      <c r="M1162" s="23"/>
      <c r="N1162" s="23"/>
      <c r="O1162" s="23"/>
    </row>
    <row r="1163">
      <c r="A1163" s="16" t="str">
        <f t="shared" si="1"/>
        <v/>
      </c>
      <c r="B1163" s="17"/>
      <c r="C1163" s="18"/>
      <c r="D1163" s="24"/>
      <c r="J1163" s="22"/>
      <c r="K1163" s="22"/>
      <c r="L1163" s="23"/>
      <c r="M1163" s="23"/>
      <c r="N1163" s="23"/>
      <c r="O1163" s="23"/>
    </row>
    <row r="1164">
      <c r="A1164" s="16" t="str">
        <f t="shared" si="1"/>
        <v/>
      </c>
      <c r="B1164" s="17"/>
      <c r="C1164" s="18"/>
      <c r="D1164" s="24"/>
      <c r="J1164" s="22"/>
      <c r="K1164" s="22"/>
      <c r="L1164" s="23"/>
      <c r="M1164" s="23"/>
      <c r="N1164" s="23"/>
      <c r="O1164" s="23"/>
    </row>
    <row r="1165">
      <c r="A1165" s="16" t="str">
        <f t="shared" si="1"/>
        <v/>
      </c>
      <c r="B1165" s="17"/>
      <c r="C1165" s="18"/>
      <c r="D1165" s="24"/>
      <c r="J1165" s="22"/>
      <c r="K1165" s="22"/>
      <c r="L1165" s="23"/>
      <c r="M1165" s="23"/>
      <c r="N1165" s="23"/>
      <c r="O1165" s="23"/>
    </row>
    <row r="1166">
      <c r="A1166" s="16" t="str">
        <f t="shared" si="1"/>
        <v/>
      </c>
      <c r="B1166" s="17"/>
      <c r="C1166" s="18"/>
      <c r="D1166" s="24"/>
      <c r="J1166" s="22"/>
      <c r="K1166" s="22"/>
      <c r="L1166" s="23"/>
      <c r="M1166" s="23"/>
      <c r="N1166" s="23"/>
      <c r="O1166" s="23"/>
    </row>
    <row r="1167">
      <c r="A1167" s="16" t="str">
        <f t="shared" si="1"/>
        <v/>
      </c>
      <c r="B1167" s="17"/>
      <c r="C1167" s="18"/>
      <c r="D1167" s="24"/>
      <c r="J1167" s="22"/>
      <c r="K1167" s="22"/>
      <c r="L1167" s="23"/>
      <c r="M1167" s="23"/>
      <c r="N1167" s="23"/>
      <c r="O1167" s="23"/>
    </row>
    <row r="1168">
      <c r="A1168" s="16" t="str">
        <f t="shared" si="1"/>
        <v/>
      </c>
      <c r="B1168" s="17"/>
      <c r="C1168" s="18"/>
      <c r="D1168" s="24"/>
      <c r="J1168" s="22"/>
      <c r="K1168" s="22"/>
      <c r="L1168" s="23"/>
      <c r="M1168" s="23"/>
      <c r="N1168" s="23"/>
      <c r="O1168" s="23"/>
    </row>
    <row r="1169">
      <c r="A1169" s="16" t="str">
        <f t="shared" si="1"/>
        <v/>
      </c>
      <c r="B1169" s="17"/>
      <c r="C1169" s="18"/>
      <c r="D1169" s="24"/>
      <c r="J1169" s="22"/>
      <c r="K1169" s="22"/>
      <c r="L1169" s="23"/>
      <c r="M1169" s="23"/>
      <c r="N1169" s="23"/>
      <c r="O1169" s="23"/>
    </row>
    <row r="1170">
      <c r="A1170" s="16" t="str">
        <f t="shared" si="1"/>
        <v/>
      </c>
      <c r="B1170" s="17"/>
      <c r="C1170" s="18"/>
      <c r="D1170" s="24"/>
      <c r="J1170" s="22"/>
      <c r="K1170" s="22"/>
      <c r="L1170" s="23"/>
      <c r="M1170" s="23"/>
      <c r="N1170" s="23"/>
      <c r="O1170" s="23"/>
    </row>
    <row r="1171">
      <c r="A1171" s="16" t="str">
        <f t="shared" si="1"/>
        <v/>
      </c>
      <c r="B1171" s="17"/>
      <c r="C1171" s="18"/>
      <c r="D1171" s="24"/>
      <c r="J1171" s="22"/>
      <c r="K1171" s="22"/>
      <c r="L1171" s="23"/>
      <c r="M1171" s="23"/>
      <c r="N1171" s="23"/>
      <c r="O1171" s="23"/>
    </row>
    <row r="1172">
      <c r="A1172" s="16" t="str">
        <f t="shared" si="1"/>
        <v/>
      </c>
      <c r="B1172" s="17"/>
      <c r="C1172" s="18"/>
      <c r="D1172" s="24"/>
      <c r="J1172" s="22"/>
      <c r="K1172" s="22"/>
      <c r="L1172" s="23"/>
      <c r="M1172" s="23"/>
      <c r="N1172" s="23"/>
      <c r="O1172" s="23"/>
    </row>
    <row r="1173">
      <c r="A1173" s="16" t="str">
        <f t="shared" si="1"/>
        <v/>
      </c>
      <c r="B1173" s="17"/>
      <c r="C1173" s="18"/>
      <c r="D1173" s="24"/>
      <c r="J1173" s="22"/>
      <c r="K1173" s="22"/>
      <c r="L1173" s="23"/>
      <c r="M1173" s="23"/>
      <c r="N1173" s="23"/>
      <c r="O1173" s="23"/>
    </row>
    <row r="1174">
      <c r="A1174" s="16" t="str">
        <f t="shared" si="1"/>
        <v/>
      </c>
      <c r="B1174" s="17"/>
      <c r="C1174" s="18"/>
      <c r="D1174" s="24"/>
      <c r="J1174" s="22"/>
      <c r="K1174" s="22"/>
      <c r="L1174" s="23"/>
      <c r="M1174" s="23"/>
      <c r="N1174" s="23"/>
      <c r="O1174" s="23"/>
    </row>
    <row r="1175">
      <c r="A1175" s="16" t="str">
        <f t="shared" si="1"/>
        <v/>
      </c>
      <c r="B1175" s="17"/>
      <c r="C1175" s="18"/>
      <c r="D1175" s="24"/>
      <c r="J1175" s="22"/>
      <c r="K1175" s="22"/>
      <c r="L1175" s="23"/>
      <c r="M1175" s="23"/>
      <c r="N1175" s="23"/>
      <c r="O1175" s="23"/>
    </row>
    <row r="1176">
      <c r="A1176" s="16" t="str">
        <f t="shared" si="1"/>
        <v/>
      </c>
      <c r="B1176" s="17"/>
      <c r="C1176" s="18"/>
      <c r="D1176" s="24"/>
      <c r="J1176" s="22"/>
      <c r="K1176" s="22"/>
      <c r="L1176" s="23"/>
      <c r="M1176" s="23"/>
      <c r="N1176" s="23"/>
      <c r="O1176" s="23"/>
    </row>
    <row r="1177">
      <c r="A1177" s="16" t="str">
        <f t="shared" si="1"/>
        <v/>
      </c>
      <c r="B1177" s="17"/>
      <c r="C1177" s="18"/>
      <c r="D1177" s="24"/>
      <c r="J1177" s="22"/>
      <c r="K1177" s="22"/>
      <c r="L1177" s="23"/>
      <c r="M1177" s="23"/>
      <c r="N1177" s="23"/>
      <c r="O1177" s="23"/>
    </row>
    <row r="1178">
      <c r="A1178" s="16" t="str">
        <f t="shared" si="1"/>
        <v/>
      </c>
      <c r="B1178" s="17"/>
      <c r="C1178" s="18"/>
      <c r="D1178" s="24"/>
      <c r="J1178" s="22"/>
      <c r="K1178" s="22"/>
      <c r="L1178" s="23"/>
      <c r="M1178" s="23"/>
      <c r="N1178" s="23"/>
      <c r="O1178" s="23"/>
    </row>
    <row r="1179">
      <c r="A1179" s="16" t="str">
        <f t="shared" si="1"/>
        <v/>
      </c>
      <c r="B1179" s="17"/>
      <c r="C1179" s="18"/>
      <c r="D1179" s="24"/>
      <c r="J1179" s="22"/>
      <c r="K1179" s="22"/>
      <c r="L1179" s="23"/>
      <c r="M1179" s="23"/>
      <c r="N1179" s="23"/>
      <c r="O1179" s="23"/>
    </row>
    <row r="1180">
      <c r="A1180" s="16" t="str">
        <f t="shared" si="1"/>
        <v/>
      </c>
      <c r="B1180" s="17"/>
      <c r="C1180" s="18"/>
      <c r="D1180" s="24"/>
      <c r="J1180" s="22"/>
      <c r="K1180" s="22"/>
      <c r="L1180" s="23"/>
      <c r="M1180" s="23"/>
      <c r="N1180" s="23"/>
      <c r="O1180" s="23"/>
    </row>
    <row r="1181">
      <c r="A1181" s="16" t="str">
        <f t="shared" si="1"/>
        <v/>
      </c>
      <c r="B1181" s="17"/>
      <c r="C1181" s="18"/>
      <c r="D1181" s="24"/>
      <c r="J1181" s="22"/>
      <c r="K1181" s="22"/>
      <c r="L1181" s="23"/>
      <c r="M1181" s="23"/>
      <c r="N1181" s="23"/>
      <c r="O1181" s="23"/>
    </row>
    <row r="1182">
      <c r="A1182" s="16" t="str">
        <f t="shared" si="1"/>
        <v/>
      </c>
      <c r="B1182" s="17"/>
      <c r="C1182" s="18"/>
      <c r="D1182" s="24"/>
      <c r="J1182" s="22"/>
      <c r="K1182" s="22"/>
      <c r="L1182" s="23"/>
      <c r="M1182" s="23"/>
      <c r="N1182" s="23"/>
      <c r="O1182" s="23"/>
    </row>
    <row r="1183">
      <c r="A1183" s="16" t="str">
        <f t="shared" si="1"/>
        <v/>
      </c>
      <c r="B1183" s="17"/>
      <c r="C1183" s="18"/>
      <c r="D1183" s="24"/>
      <c r="J1183" s="22"/>
      <c r="K1183" s="22"/>
      <c r="L1183" s="23"/>
      <c r="M1183" s="23"/>
      <c r="N1183" s="23"/>
      <c r="O1183" s="23"/>
    </row>
    <row r="1184">
      <c r="A1184" s="16" t="str">
        <f t="shared" si="1"/>
        <v/>
      </c>
      <c r="B1184" s="17"/>
      <c r="C1184" s="18"/>
      <c r="D1184" s="24"/>
      <c r="J1184" s="22"/>
      <c r="K1184" s="22"/>
      <c r="L1184" s="23"/>
      <c r="M1184" s="23"/>
      <c r="N1184" s="23"/>
      <c r="O1184" s="23"/>
    </row>
    <row r="1185">
      <c r="A1185" s="16" t="str">
        <f t="shared" si="1"/>
        <v/>
      </c>
      <c r="B1185" s="17"/>
      <c r="C1185" s="18"/>
      <c r="D1185" s="24"/>
      <c r="J1185" s="22"/>
      <c r="K1185" s="22"/>
      <c r="L1185" s="23"/>
      <c r="M1185" s="23"/>
      <c r="N1185" s="23"/>
      <c r="O1185" s="23"/>
    </row>
    <row r="1186">
      <c r="A1186" s="16" t="str">
        <f t="shared" si="1"/>
        <v/>
      </c>
      <c r="B1186" s="17"/>
      <c r="C1186" s="18"/>
      <c r="D1186" s="24"/>
      <c r="J1186" s="22"/>
      <c r="K1186" s="22"/>
      <c r="L1186" s="23"/>
      <c r="M1186" s="23"/>
      <c r="N1186" s="23"/>
      <c r="O1186" s="23"/>
    </row>
    <row r="1187">
      <c r="A1187" s="16" t="str">
        <f t="shared" si="1"/>
        <v/>
      </c>
      <c r="B1187" s="17"/>
      <c r="C1187" s="18"/>
      <c r="D1187" s="24"/>
      <c r="J1187" s="22"/>
      <c r="K1187" s="22"/>
      <c r="L1187" s="23"/>
      <c r="M1187" s="23"/>
      <c r="N1187" s="23"/>
      <c r="O1187" s="23"/>
    </row>
    <row r="1188">
      <c r="A1188" s="16" t="str">
        <f t="shared" si="1"/>
        <v/>
      </c>
      <c r="B1188" s="17"/>
      <c r="C1188" s="18"/>
      <c r="D1188" s="24"/>
      <c r="J1188" s="22"/>
      <c r="K1188" s="22"/>
      <c r="L1188" s="23"/>
      <c r="M1188" s="23"/>
      <c r="N1188" s="23"/>
      <c r="O1188" s="23"/>
    </row>
    <row r="1189">
      <c r="A1189" s="16" t="str">
        <f t="shared" si="1"/>
        <v/>
      </c>
      <c r="B1189" s="17"/>
      <c r="C1189" s="18"/>
      <c r="D1189" s="24"/>
      <c r="J1189" s="22"/>
      <c r="K1189" s="22"/>
      <c r="L1189" s="23"/>
      <c r="M1189" s="23"/>
      <c r="N1189" s="23"/>
      <c r="O1189" s="23"/>
    </row>
    <row r="1190">
      <c r="A1190" s="16" t="str">
        <f t="shared" si="1"/>
        <v/>
      </c>
      <c r="B1190" s="17"/>
      <c r="C1190" s="18"/>
      <c r="D1190" s="24"/>
      <c r="J1190" s="22"/>
      <c r="K1190" s="22"/>
      <c r="L1190" s="23"/>
      <c r="M1190" s="23"/>
      <c r="N1190" s="23"/>
      <c r="O1190" s="23"/>
    </row>
    <row r="1191">
      <c r="A1191" s="16" t="str">
        <f t="shared" si="1"/>
        <v/>
      </c>
      <c r="B1191" s="17"/>
      <c r="C1191" s="18"/>
      <c r="D1191" s="24"/>
      <c r="J1191" s="22"/>
      <c r="K1191" s="22"/>
      <c r="L1191" s="23"/>
      <c r="M1191" s="23"/>
      <c r="N1191" s="23"/>
      <c r="O1191" s="23"/>
    </row>
    <row r="1192">
      <c r="A1192" s="16" t="str">
        <f t="shared" si="1"/>
        <v/>
      </c>
      <c r="B1192" s="17"/>
      <c r="C1192" s="18"/>
      <c r="D1192" s="24"/>
      <c r="J1192" s="22"/>
      <c r="K1192" s="22"/>
      <c r="L1192" s="23"/>
      <c r="M1192" s="23"/>
      <c r="N1192" s="23"/>
      <c r="O1192" s="23"/>
    </row>
    <row r="1193">
      <c r="A1193" s="16" t="str">
        <f t="shared" si="1"/>
        <v/>
      </c>
      <c r="B1193" s="17"/>
      <c r="C1193" s="18"/>
      <c r="D1193" s="24"/>
      <c r="J1193" s="22"/>
      <c r="K1193" s="22"/>
      <c r="L1193" s="23"/>
      <c r="M1193" s="23"/>
      <c r="N1193" s="23"/>
      <c r="O1193" s="23"/>
    </row>
    <row r="1194">
      <c r="A1194" s="16" t="str">
        <f t="shared" si="1"/>
        <v/>
      </c>
      <c r="B1194" s="17"/>
      <c r="C1194" s="18"/>
      <c r="D1194" s="24"/>
      <c r="J1194" s="22"/>
      <c r="K1194" s="22"/>
      <c r="L1194" s="23"/>
      <c r="M1194" s="23"/>
      <c r="N1194" s="23"/>
      <c r="O1194" s="23"/>
    </row>
    <row r="1195">
      <c r="A1195" s="16" t="str">
        <f t="shared" si="1"/>
        <v/>
      </c>
      <c r="B1195" s="17"/>
      <c r="C1195" s="18"/>
      <c r="D1195" s="24"/>
      <c r="J1195" s="22"/>
      <c r="K1195" s="22"/>
      <c r="L1195" s="23"/>
      <c r="M1195" s="23"/>
      <c r="N1195" s="23"/>
      <c r="O1195" s="23"/>
    </row>
    <row r="1196">
      <c r="A1196" s="16" t="str">
        <f t="shared" si="1"/>
        <v/>
      </c>
      <c r="B1196" s="17"/>
      <c r="C1196" s="18"/>
      <c r="D1196" s="24"/>
      <c r="J1196" s="22"/>
      <c r="K1196" s="22"/>
      <c r="L1196" s="23"/>
      <c r="M1196" s="23"/>
      <c r="N1196" s="23"/>
      <c r="O1196" s="23"/>
    </row>
    <row r="1197">
      <c r="A1197" s="16" t="str">
        <f t="shared" si="1"/>
        <v/>
      </c>
      <c r="B1197" s="17"/>
      <c r="C1197" s="18"/>
      <c r="D1197" s="24"/>
      <c r="J1197" s="22"/>
      <c r="K1197" s="22"/>
      <c r="L1197" s="23"/>
      <c r="M1197" s="23"/>
      <c r="N1197" s="23"/>
      <c r="O1197" s="23"/>
    </row>
    <row r="1198">
      <c r="A1198" s="16" t="str">
        <f t="shared" si="1"/>
        <v/>
      </c>
      <c r="B1198" s="17"/>
      <c r="C1198" s="18"/>
      <c r="D1198" s="24"/>
      <c r="J1198" s="22"/>
      <c r="K1198" s="22"/>
      <c r="L1198" s="23"/>
      <c r="M1198" s="23"/>
      <c r="N1198" s="23"/>
      <c r="O1198" s="23"/>
    </row>
    <row r="1199">
      <c r="A1199" s="16" t="str">
        <f t="shared" si="1"/>
        <v/>
      </c>
      <c r="B1199" s="17"/>
      <c r="C1199" s="18"/>
      <c r="D1199" s="24"/>
      <c r="J1199" s="22"/>
      <c r="K1199" s="22"/>
      <c r="L1199" s="23"/>
      <c r="M1199" s="23"/>
      <c r="N1199" s="23"/>
      <c r="O1199" s="23"/>
    </row>
    <row r="1200">
      <c r="A1200" s="16" t="str">
        <f t="shared" si="1"/>
        <v/>
      </c>
      <c r="B1200" s="17"/>
      <c r="C1200" s="18"/>
      <c r="D1200" s="24"/>
      <c r="J1200" s="22"/>
      <c r="K1200" s="22"/>
      <c r="L1200" s="23"/>
      <c r="M1200" s="23"/>
      <c r="N1200" s="23"/>
      <c r="O1200" s="23"/>
    </row>
    <row r="1201">
      <c r="A1201" s="16" t="str">
        <f t="shared" si="1"/>
        <v/>
      </c>
      <c r="B1201" s="17"/>
      <c r="C1201" s="18"/>
      <c r="D1201" s="24"/>
      <c r="J1201" s="22"/>
      <c r="K1201" s="22"/>
      <c r="L1201" s="23"/>
      <c r="M1201" s="23"/>
      <c r="N1201" s="23"/>
      <c r="O1201" s="23"/>
    </row>
    <row r="1202">
      <c r="A1202" s="16" t="str">
        <f t="shared" si="1"/>
        <v/>
      </c>
      <c r="B1202" s="17"/>
      <c r="C1202" s="18"/>
      <c r="D1202" s="24"/>
      <c r="J1202" s="22"/>
      <c r="K1202" s="22"/>
      <c r="L1202" s="23"/>
      <c r="M1202" s="23"/>
      <c r="N1202" s="23"/>
      <c r="O1202" s="23"/>
    </row>
    <row r="1203">
      <c r="A1203" s="16" t="str">
        <f t="shared" si="1"/>
        <v/>
      </c>
      <c r="B1203" s="17"/>
      <c r="C1203" s="18"/>
      <c r="D1203" s="24"/>
      <c r="J1203" s="22"/>
      <c r="K1203" s="22"/>
      <c r="L1203" s="23"/>
      <c r="M1203" s="23"/>
      <c r="N1203" s="23"/>
      <c r="O1203" s="23"/>
    </row>
    <row r="1204">
      <c r="A1204" s="16" t="str">
        <f t="shared" si="1"/>
        <v/>
      </c>
      <c r="B1204" s="17"/>
      <c r="C1204" s="18"/>
      <c r="D1204" s="24"/>
      <c r="J1204" s="22"/>
      <c r="K1204" s="22"/>
      <c r="L1204" s="23"/>
      <c r="M1204" s="23"/>
      <c r="N1204" s="23"/>
      <c r="O1204" s="23"/>
    </row>
    <row r="1205">
      <c r="A1205" s="16" t="str">
        <f t="shared" si="1"/>
        <v/>
      </c>
      <c r="B1205" s="17"/>
      <c r="C1205" s="18"/>
      <c r="D1205" s="24"/>
      <c r="J1205" s="22"/>
      <c r="K1205" s="22"/>
      <c r="L1205" s="23"/>
      <c r="M1205" s="23"/>
      <c r="N1205" s="23"/>
      <c r="O1205" s="23"/>
    </row>
    <row r="1206">
      <c r="A1206" s="16" t="str">
        <f t="shared" si="1"/>
        <v/>
      </c>
      <c r="B1206" s="17"/>
      <c r="C1206" s="18"/>
      <c r="D1206" s="24"/>
      <c r="J1206" s="22"/>
      <c r="K1206" s="22"/>
      <c r="L1206" s="23"/>
      <c r="M1206" s="23"/>
      <c r="N1206" s="23"/>
      <c r="O1206" s="23"/>
    </row>
    <row r="1207">
      <c r="A1207" s="16" t="str">
        <f t="shared" si="1"/>
        <v/>
      </c>
      <c r="B1207" s="17"/>
      <c r="C1207" s="18"/>
      <c r="D1207" s="24"/>
      <c r="J1207" s="22"/>
      <c r="K1207" s="22"/>
      <c r="L1207" s="23"/>
      <c r="M1207" s="23"/>
      <c r="N1207" s="23"/>
      <c r="O1207" s="23"/>
    </row>
    <row r="1208">
      <c r="A1208" s="16" t="str">
        <f t="shared" si="1"/>
        <v/>
      </c>
      <c r="B1208" s="17"/>
      <c r="C1208" s="18"/>
      <c r="D1208" s="24"/>
      <c r="J1208" s="22"/>
      <c r="K1208" s="22"/>
      <c r="L1208" s="23"/>
      <c r="M1208" s="23"/>
      <c r="N1208" s="23"/>
      <c r="O1208" s="23"/>
    </row>
    <row r="1209">
      <c r="A1209" s="16" t="str">
        <f t="shared" si="1"/>
        <v/>
      </c>
      <c r="B1209" s="17"/>
      <c r="C1209" s="18"/>
      <c r="D1209" s="24"/>
      <c r="J1209" s="22"/>
      <c r="K1209" s="22"/>
      <c r="L1209" s="23"/>
      <c r="M1209" s="23"/>
      <c r="N1209" s="23"/>
      <c r="O1209" s="23"/>
    </row>
    <row r="1210">
      <c r="A1210" s="16" t="str">
        <f t="shared" si="1"/>
        <v/>
      </c>
      <c r="B1210" s="17"/>
      <c r="C1210" s="18"/>
      <c r="D1210" s="24"/>
      <c r="J1210" s="22"/>
      <c r="K1210" s="22"/>
      <c r="L1210" s="23"/>
      <c r="M1210" s="23"/>
      <c r="N1210" s="23"/>
      <c r="O1210" s="23"/>
    </row>
    <row r="1211">
      <c r="A1211" s="16" t="str">
        <f t="shared" si="1"/>
        <v/>
      </c>
      <c r="B1211" s="17"/>
      <c r="C1211" s="18"/>
      <c r="D1211" s="24"/>
      <c r="J1211" s="22"/>
      <c r="K1211" s="22"/>
      <c r="L1211" s="23"/>
      <c r="M1211" s="23"/>
      <c r="N1211" s="23"/>
      <c r="O1211" s="23"/>
    </row>
    <row r="1212">
      <c r="A1212" s="16" t="str">
        <f t="shared" si="1"/>
        <v/>
      </c>
      <c r="B1212" s="17"/>
      <c r="C1212" s="18"/>
      <c r="D1212" s="24"/>
      <c r="J1212" s="22"/>
      <c r="K1212" s="22"/>
      <c r="L1212" s="23"/>
      <c r="M1212" s="23"/>
      <c r="N1212" s="23"/>
      <c r="O1212" s="23"/>
    </row>
    <row r="1213">
      <c r="A1213" s="16" t="str">
        <f t="shared" si="1"/>
        <v/>
      </c>
      <c r="B1213" s="17"/>
      <c r="C1213" s="18"/>
      <c r="D1213" s="24"/>
      <c r="J1213" s="22"/>
      <c r="K1213" s="22"/>
      <c r="L1213" s="23"/>
      <c r="M1213" s="23"/>
      <c r="N1213" s="23"/>
      <c r="O1213" s="23"/>
    </row>
    <row r="1214">
      <c r="A1214" s="16" t="str">
        <f t="shared" si="1"/>
        <v/>
      </c>
      <c r="B1214" s="17"/>
      <c r="C1214" s="18"/>
      <c r="D1214" s="24"/>
      <c r="J1214" s="22"/>
      <c r="K1214" s="22"/>
      <c r="L1214" s="23"/>
      <c r="M1214" s="23"/>
      <c r="N1214" s="23"/>
      <c r="O1214" s="23"/>
    </row>
    <row r="1215">
      <c r="A1215" s="16" t="str">
        <f t="shared" si="1"/>
        <v/>
      </c>
      <c r="B1215" s="17"/>
      <c r="C1215" s="18"/>
      <c r="D1215" s="24"/>
      <c r="J1215" s="22"/>
      <c r="K1215" s="22"/>
      <c r="L1215" s="23"/>
      <c r="M1215" s="23"/>
      <c r="N1215" s="23"/>
      <c r="O1215" s="23"/>
    </row>
    <row r="1216">
      <c r="A1216" s="16" t="str">
        <f t="shared" si="1"/>
        <v/>
      </c>
      <c r="B1216" s="17"/>
      <c r="C1216" s="18"/>
      <c r="D1216" s="24"/>
      <c r="J1216" s="22"/>
      <c r="K1216" s="22"/>
      <c r="L1216" s="23"/>
      <c r="M1216" s="23"/>
      <c r="N1216" s="23"/>
      <c r="O1216" s="23"/>
    </row>
    <row r="1217">
      <c r="A1217" s="16" t="str">
        <f t="shared" si="1"/>
        <v/>
      </c>
      <c r="B1217" s="17"/>
      <c r="C1217" s="18"/>
      <c r="D1217" s="24"/>
      <c r="J1217" s="22"/>
      <c r="K1217" s="22"/>
      <c r="L1217" s="23"/>
      <c r="M1217" s="23"/>
      <c r="N1217" s="23"/>
      <c r="O1217" s="23"/>
    </row>
    <row r="1218">
      <c r="A1218" s="16" t="str">
        <f t="shared" si="1"/>
        <v/>
      </c>
      <c r="B1218" s="17"/>
      <c r="C1218" s="18"/>
      <c r="D1218" s="24"/>
      <c r="J1218" s="22"/>
      <c r="K1218" s="22"/>
      <c r="L1218" s="23"/>
      <c r="M1218" s="23"/>
      <c r="N1218" s="23"/>
      <c r="O1218" s="23"/>
    </row>
    <row r="1219">
      <c r="A1219" s="16" t="str">
        <f t="shared" si="1"/>
        <v/>
      </c>
      <c r="B1219" s="17"/>
      <c r="C1219" s="18"/>
      <c r="D1219" s="24"/>
      <c r="J1219" s="22"/>
      <c r="K1219" s="22"/>
      <c r="L1219" s="23"/>
      <c r="M1219" s="23"/>
      <c r="N1219" s="23"/>
      <c r="O1219" s="23"/>
    </row>
    <row r="1220">
      <c r="A1220" s="16" t="str">
        <f t="shared" si="1"/>
        <v/>
      </c>
      <c r="B1220" s="17"/>
      <c r="C1220" s="18"/>
      <c r="D1220" s="24"/>
      <c r="J1220" s="22"/>
      <c r="K1220" s="22"/>
      <c r="L1220" s="23"/>
      <c r="M1220" s="23"/>
      <c r="N1220" s="23"/>
      <c r="O1220" s="23"/>
    </row>
    <row r="1221">
      <c r="A1221" s="16" t="str">
        <f t="shared" si="1"/>
        <v/>
      </c>
      <c r="B1221" s="17"/>
      <c r="C1221" s="18"/>
      <c r="D1221" s="24"/>
      <c r="J1221" s="22"/>
      <c r="K1221" s="22"/>
      <c r="L1221" s="23"/>
      <c r="M1221" s="23"/>
      <c r="N1221" s="23"/>
      <c r="O1221" s="23"/>
    </row>
    <row r="1222">
      <c r="A1222" s="16" t="str">
        <f t="shared" si="1"/>
        <v/>
      </c>
      <c r="B1222" s="17"/>
      <c r="C1222" s="18"/>
      <c r="D1222" s="24"/>
      <c r="J1222" s="22"/>
      <c r="K1222" s="22"/>
      <c r="L1222" s="23"/>
      <c r="M1222" s="23"/>
      <c r="N1222" s="23"/>
      <c r="O1222" s="23"/>
    </row>
    <row r="1223">
      <c r="A1223" s="16" t="str">
        <f t="shared" si="1"/>
        <v/>
      </c>
      <c r="B1223" s="17"/>
      <c r="C1223" s="18"/>
      <c r="D1223" s="24"/>
      <c r="J1223" s="22"/>
      <c r="K1223" s="22"/>
      <c r="L1223" s="23"/>
      <c r="M1223" s="23"/>
      <c r="N1223" s="23"/>
      <c r="O1223" s="23"/>
    </row>
    <row r="1224">
      <c r="A1224" s="16" t="str">
        <f t="shared" si="1"/>
        <v/>
      </c>
      <c r="B1224" s="17"/>
      <c r="C1224" s="18"/>
      <c r="D1224" s="24"/>
      <c r="J1224" s="22"/>
      <c r="K1224" s="22"/>
      <c r="L1224" s="23"/>
      <c r="M1224" s="23"/>
      <c r="N1224" s="23"/>
      <c r="O1224" s="23"/>
    </row>
    <row r="1225">
      <c r="A1225" s="16" t="str">
        <f t="shared" si="1"/>
        <v/>
      </c>
      <c r="B1225" s="17"/>
      <c r="C1225" s="18"/>
      <c r="D1225" s="24"/>
      <c r="J1225" s="22"/>
      <c r="K1225" s="22"/>
      <c r="L1225" s="23"/>
      <c r="M1225" s="23"/>
      <c r="N1225" s="23"/>
      <c r="O1225" s="23"/>
    </row>
    <row r="1226">
      <c r="A1226" s="16" t="str">
        <f t="shared" si="1"/>
        <v/>
      </c>
      <c r="B1226" s="17"/>
      <c r="C1226" s="18"/>
      <c r="D1226" s="24"/>
      <c r="J1226" s="22"/>
      <c r="K1226" s="22"/>
      <c r="L1226" s="23"/>
      <c r="M1226" s="23"/>
      <c r="N1226" s="23"/>
      <c r="O1226" s="23"/>
    </row>
    <row r="1227">
      <c r="A1227" s="16" t="str">
        <f t="shared" si="1"/>
        <v/>
      </c>
      <c r="B1227" s="17"/>
      <c r="C1227" s="18"/>
      <c r="D1227" s="24"/>
      <c r="J1227" s="22"/>
      <c r="K1227" s="22"/>
      <c r="L1227" s="23"/>
      <c r="M1227" s="23"/>
      <c r="N1227" s="23"/>
      <c r="O1227" s="23"/>
    </row>
    <row r="1228">
      <c r="A1228" s="16" t="str">
        <f t="shared" si="1"/>
        <v/>
      </c>
      <c r="B1228" s="17"/>
      <c r="C1228" s="18"/>
      <c r="D1228" s="24"/>
      <c r="J1228" s="22"/>
      <c r="K1228" s="22"/>
      <c r="L1228" s="23"/>
      <c r="M1228" s="23"/>
      <c r="N1228" s="23"/>
      <c r="O1228" s="23"/>
    </row>
    <row r="1229">
      <c r="A1229" s="16" t="str">
        <f t="shared" si="1"/>
        <v/>
      </c>
      <c r="B1229" s="17"/>
      <c r="C1229" s="18"/>
      <c r="D1229" s="24"/>
      <c r="J1229" s="22"/>
      <c r="K1229" s="22"/>
      <c r="L1229" s="23"/>
      <c r="M1229" s="23"/>
      <c r="N1229" s="23"/>
      <c r="O1229" s="23"/>
    </row>
    <row r="1230">
      <c r="A1230" s="16" t="str">
        <f t="shared" si="1"/>
        <v/>
      </c>
      <c r="B1230" s="17"/>
      <c r="C1230" s="18"/>
      <c r="D1230" s="24"/>
      <c r="J1230" s="22"/>
      <c r="K1230" s="22"/>
      <c r="L1230" s="23"/>
      <c r="M1230" s="23"/>
      <c r="N1230" s="23"/>
      <c r="O1230" s="23"/>
    </row>
    <row r="1231">
      <c r="A1231" s="16" t="str">
        <f t="shared" si="1"/>
        <v/>
      </c>
      <c r="B1231" s="17"/>
      <c r="C1231" s="18"/>
      <c r="D1231" s="24"/>
      <c r="J1231" s="22"/>
      <c r="K1231" s="22"/>
      <c r="L1231" s="23"/>
      <c r="M1231" s="23"/>
      <c r="N1231" s="23"/>
      <c r="O1231" s="23"/>
    </row>
    <row r="1232">
      <c r="A1232" s="16" t="str">
        <f t="shared" si="1"/>
        <v/>
      </c>
      <c r="B1232" s="17"/>
      <c r="C1232" s="18"/>
      <c r="D1232" s="24"/>
      <c r="J1232" s="22"/>
      <c r="K1232" s="22"/>
      <c r="L1232" s="23"/>
      <c r="M1232" s="23"/>
      <c r="N1232" s="23"/>
      <c r="O1232" s="23"/>
    </row>
    <row r="1233">
      <c r="A1233" s="16" t="str">
        <f t="shared" si="1"/>
        <v/>
      </c>
      <c r="B1233" s="17"/>
      <c r="C1233" s="18"/>
      <c r="D1233" s="24"/>
      <c r="J1233" s="22"/>
      <c r="K1233" s="22"/>
      <c r="L1233" s="23"/>
      <c r="M1233" s="23"/>
      <c r="N1233" s="23"/>
      <c r="O1233" s="23"/>
    </row>
    <row r="1234">
      <c r="A1234" s="16" t="str">
        <f t="shared" si="1"/>
        <v/>
      </c>
      <c r="B1234" s="17"/>
      <c r="C1234" s="18"/>
      <c r="D1234" s="24"/>
      <c r="J1234" s="22"/>
      <c r="K1234" s="22"/>
      <c r="L1234" s="23"/>
      <c r="M1234" s="23"/>
      <c r="N1234" s="23"/>
      <c r="O1234" s="23"/>
    </row>
    <row r="1235">
      <c r="A1235" s="16" t="str">
        <f t="shared" si="1"/>
        <v/>
      </c>
      <c r="B1235" s="17"/>
      <c r="C1235" s="18"/>
      <c r="D1235" s="24"/>
      <c r="J1235" s="22"/>
      <c r="K1235" s="22"/>
      <c r="L1235" s="23"/>
      <c r="M1235" s="23"/>
      <c r="N1235" s="23"/>
      <c r="O1235" s="23"/>
    </row>
    <row r="1236">
      <c r="A1236" s="16" t="str">
        <f t="shared" si="1"/>
        <v/>
      </c>
      <c r="B1236" s="17"/>
      <c r="C1236" s="18"/>
      <c r="D1236" s="24"/>
      <c r="J1236" s="22"/>
      <c r="K1236" s="22"/>
      <c r="L1236" s="23"/>
      <c r="M1236" s="23"/>
      <c r="N1236" s="23"/>
      <c r="O1236" s="23"/>
    </row>
    <row r="1237">
      <c r="A1237" s="16" t="str">
        <f t="shared" si="1"/>
        <v/>
      </c>
      <c r="B1237" s="17"/>
      <c r="C1237" s="18"/>
      <c r="D1237" s="24"/>
      <c r="J1237" s="22"/>
      <c r="K1237" s="22"/>
      <c r="L1237" s="23"/>
      <c r="M1237" s="23"/>
      <c r="N1237" s="23"/>
      <c r="O1237" s="23"/>
    </row>
    <row r="1238">
      <c r="A1238" s="16" t="str">
        <f t="shared" si="1"/>
        <v/>
      </c>
      <c r="B1238" s="17"/>
      <c r="C1238" s="18"/>
      <c r="D1238" s="24"/>
      <c r="J1238" s="22"/>
      <c r="K1238" s="22"/>
      <c r="L1238" s="23"/>
      <c r="M1238" s="23"/>
      <c r="N1238" s="23"/>
      <c r="O1238" s="23"/>
    </row>
    <row r="1239">
      <c r="A1239" s="16" t="str">
        <f t="shared" si="1"/>
        <v/>
      </c>
      <c r="B1239" s="17"/>
      <c r="C1239" s="18"/>
      <c r="D1239" s="24"/>
      <c r="J1239" s="22"/>
      <c r="K1239" s="22"/>
      <c r="L1239" s="23"/>
      <c r="M1239" s="23"/>
      <c r="N1239" s="23"/>
      <c r="O1239" s="23"/>
    </row>
    <row r="1240">
      <c r="A1240" s="16" t="str">
        <f t="shared" si="1"/>
        <v/>
      </c>
      <c r="B1240" s="17"/>
      <c r="C1240" s="18"/>
      <c r="D1240" s="24"/>
      <c r="J1240" s="22"/>
      <c r="K1240" s="22"/>
      <c r="L1240" s="23"/>
      <c r="M1240" s="23"/>
      <c r="N1240" s="23"/>
      <c r="O1240" s="23"/>
    </row>
    <row r="1241">
      <c r="A1241" s="16" t="str">
        <f t="shared" si="1"/>
        <v/>
      </c>
      <c r="B1241" s="17"/>
      <c r="C1241" s="18"/>
      <c r="D1241" s="24"/>
      <c r="J1241" s="22"/>
      <c r="K1241" s="22"/>
      <c r="L1241" s="23"/>
      <c r="M1241" s="23"/>
      <c r="N1241" s="23"/>
      <c r="O1241" s="23"/>
    </row>
    <row r="1242">
      <c r="A1242" s="16" t="str">
        <f t="shared" si="1"/>
        <v/>
      </c>
      <c r="B1242" s="17"/>
      <c r="C1242" s="18"/>
      <c r="D1242" s="24"/>
      <c r="J1242" s="22"/>
      <c r="K1242" s="22"/>
      <c r="L1242" s="23"/>
      <c r="M1242" s="23"/>
      <c r="N1242" s="23"/>
      <c r="O1242" s="23"/>
    </row>
    <row r="1243">
      <c r="A1243" s="16" t="str">
        <f t="shared" si="1"/>
        <v/>
      </c>
      <c r="B1243" s="17"/>
      <c r="C1243" s="18"/>
      <c r="D1243" s="24"/>
      <c r="J1243" s="22"/>
      <c r="K1243" s="22"/>
      <c r="L1243" s="23"/>
      <c r="M1243" s="23"/>
      <c r="N1243" s="23"/>
      <c r="O1243" s="23"/>
    </row>
    <row r="1244">
      <c r="A1244" s="16" t="str">
        <f t="shared" si="1"/>
        <v/>
      </c>
      <c r="B1244" s="17"/>
      <c r="C1244" s="18"/>
      <c r="D1244" s="24"/>
      <c r="J1244" s="22"/>
      <c r="K1244" s="22"/>
      <c r="L1244" s="23"/>
      <c r="M1244" s="23"/>
      <c r="N1244" s="23"/>
      <c r="O1244" s="23"/>
    </row>
    <row r="1245">
      <c r="A1245" s="16" t="str">
        <f t="shared" si="1"/>
        <v/>
      </c>
      <c r="B1245" s="17"/>
      <c r="C1245" s="18"/>
      <c r="D1245" s="24"/>
      <c r="J1245" s="22"/>
      <c r="K1245" s="22"/>
      <c r="L1245" s="23"/>
      <c r="M1245" s="23"/>
      <c r="N1245" s="23"/>
      <c r="O1245" s="23"/>
    </row>
    <row r="1246">
      <c r="A1246" s="16" t="str">
        <f t="shared" si="1"/>
        <v/>
      </c>
      <c r="B1246" s="17"/>
      <c r="C1246" s="18"/>
      <c r="D1246" s="24"/>
      <c r="J1246" s="22"/>
      <c r="K1246" s="22"/>
      <c r="L1246" s="23"/>
      <c r="M1246" s="23"/>
      <c r="N1246" s="23"/>
      <c r="O1246" s="23"/>
    </row>
    <row r="1247">
      <c r="A1247" s="16" t="str">
        <f t="shared" si="1"/>
        <v/>
      </c>
      <c r="B1247" s="17"/>
      <c r="C1247" s="18"/>
      <c r="D1247" s="24"/>
      <c r="J1247" s="22"/>
      <c r="K1247" s="22"/>
      <c r="L1247" s="23"/>
      <c r="M1247" s="23"/>
      <c r="N1247" s="23"/>
      <c r="O1247" s="23"/>
    </row>
    <row r="1248">
      <c r="A1248" s="16" t="str">
        <f t="shared" si="1"/>
        <v/>
      </c>
      <c r="B1248" s="17"/>
      <c r="C1248" s="18"/>
      <c r="D1248" s="24"/>
      <c r="J1248" s="22"/>
      <c r="K1248" s="22"/>
      <c r="L1248" s="23"/>
      <c r="M1248" s="23"/>
      <c r="N1248" s="23"/>
      <c r="O1248" s="23"/>
    </row>
    <row r="1249">
      <c r="A1249" s="16" t="str">
        <f t="shared" si="1"/>
        <v/>
      </c>
      <c r="B1249" s="17"/>
      <c r="C1249" s="18"/>
      <c r="D1249" s="24"/>
      <c r="J1249" s="22"/>
      <c r="K1249" s="22"/>
      <c r="L1249" s="23"/>
      <c r="M1249" s="23"/>
      <c r="N1249" s="23"/>
      <c r="O1249" s="23"/>
    </row>
    <row r="1250">
      <c r="A1250" s="16" t="str">
        <f t="shared" si="1"/>
        <v/>
      </c>
      <c r="B1250" s="17"/>
      <c r="C1250" s="18"/>
      <c r="D1250" s="24"/>
      <c r="J1250" s="22"/>
      <c r="K1250" s="22"/>
      <c r="L1250" s="23"/>
      <c r="M1250" s="23"/>
      <c r="N1250" s="23"/>
      <c r="O1250" s="23"/>
    </row>
    <row r="1251">
      <c r="A1251" s="16" t="str">
        <f t="shared" si="1"/>
        <v/>
      </c>
      <c r="B1251" s="17"/>
      <c r="C1251" s="18"/>
      <c r="D1251" s="24"/>
      <c r="J1251" s="22"/>
      <c r="K1251" s="22"/>
      <c r="L1251" s="23"/>
      <c r="M1251" s="23"/>
      <c r="N1251" s="23"/>
      <c r="O1251" s="23"/>
    </row>
    <row r="1252">
      <c r="A1252" s="16" t="str">
        <f t="shared" si="1"/>
        <v/>
      </c>
      <c r="B1252" s="17"/>
      <c r="C1252" s="18"/>
      <c r="D1252" s="24"/>
      <c r="J1252" s="22"/>
      <c r="K1252" s="22"/>
      <c r="L1252" s="23"/>
      <c r="M1252" s="23"/>
      <c r="N1252" s="23"/>
      <c r="O1252" s="23"/>
    </row>
    <row r="1253">
      <c r="A1253" s="16" t="str">
        <f t="shared" si="1"/>
        <v/>
      </c>
      <c r="B1253" s="17"/>
      <c r="C1253" s="18"/>
      <c r="D1253" s="24"/>
      <c r="J1253" s="22"/>
      <c r="K1253" s="22"/>
      <c r="L1253" s="23"/>
      <c r="M1253" s="23"/>
      <c r="N1253" s="23"/>
      <c r="O1253" s="23"/>
    </row>
    <row r="1254">
      <c r="A1254" s="16" t="str">
        <f t="shared" si="1"/>
        <v/>
      </c>
      <c r="B1254" s="17"/>
      <c r="C1254" s="18"/>
      <c r="D1254" s="24"/>
      <c r="J1254" s="22"/>
      <c r="K1254" s="22"/>
      <c r="L1254" s="23"/>
      <c r="M1254" s="23"/>
      <c r="N1254" s="23"/>
      <c r="O1254" s="23"/>
    </row>
    <row r="1255">
      <c r="A1255" s="16" t="str">
        <f t="shared" si="1"/>
        <v/>
      </c>
      <c r="B1255" s="17"/>
      <c r="C1255" s="18"/>
      <c r="D1255" s="24"/>
      <c r="J1255" s="22"/>
      <c r="K1255" s="22"/>
      <c r="L1255" s="23"/>
      <c r="M1255" s="23"/>
      <c r="N1255" s="23"/>
      <c r="O1255" s="23"/>
    </row>
    <row r="1256">
      <c r="A1256" s="16" t="str">
        <f t="shared" si="1"/>
        <v/>
      </c>
      <c r="B1256" s="17"/>
      <c r="C1256" s="18"/>
      <c r="D1256" s="24"/>
      <c r="J1256" s="22"/>
      <c r="K1256" s="22"/>
      <c r="L1256" s="23"/>
      <c r="M1256" s="23"/>
      <c r="N1256" s="23"/>
      <c r="O1256" s="23"/>
    </row>
    <row r="1257">
      <c r="A1257" s="16" t="str">
        <f t="shared" si="1"/>
        <v/>
      </c>
      <c r="B1257" s="17"/>
      <c r="C1257" s="18"/>
      <c r="D1257" s="24"/>
      <c r="J1257" s="22"/>
      <c r="K1257" s="22"/>
      <c r="L1257" s="23"/>
      <c r="M1257" s="23"/>
      <c r="N1257" s="23"/>
      <c r="O1257" s="23"/>
    </row>
    <row r="1258">
      <c r="A1258" s="16" t="str">
        <f t="shared" si="1"/>
        <v/>
      </c>
      <c r="B1258" s="17"/>
      <c r="C1258" s="18"/>
      <c r="D1258" s="24"/>
      <c r="J1258" s="22"/>
      <c r="K1258" s="22"/>
      <c r="L1258" s="23"/>
      <c r="M1258" s="23"/>
      <c r="N1258" s="23"/>
      <c r="O1258" s="23"/>
    </row>
    <row r="1259">
      <c r="A1259" s="16" t="str">
        <f t="shared" si="1"/>
        <v/>
      </c>
      <c r="B1259" s="17"/>
      <c r="C1259" s="18"/>
      <c r="D1259" s="24"/>
      <c r="J1259" s="22"/>
      <c r="K1259" s="22"/>
      <c r="L1259" s="23"/>
      <c r="M1259" s="23"/>
      <c r="N1259" s="23"/>
      <c r="O1259" s="23"/>
    </row>
    <row r="1260">
      <c r="A1260" s="16" t="str">
        <f t="shared" si="1"/>
        <v/>
      </c>
      <c r="B1260" s="17"/>
      <c r="C1260" s="18"/>
      <c r="D1260" s="24"/>
      <c r="J1260" s="22"/>
      <c r="K1260" s="22"/>
      <c r="L1260" s="23"/>
      <c r="M1260" s="23"/>
      <c r="N1260" s="23"/>
      <c r="O1260" s="23"/>
    </row>
    <row r="1261">
      <c r="A1261" s="16" t="str">
        <f t="shared" si="1"/>
        <v/>
      </c>
      <c r="B1261" s="17"/>
      <c r="C1261" s="18"/>
      <c r="D1261" s="24"/>
      <c r="J1261" s="22"/>
      <c r="K1261" s="22"/>
      <c r="L1261" s="23"/>
      <c r="M1261" s="23"/>
      <c r="N1261" s="23"/>
      <c r="O1261" s="23"/>
    </row>
    <row r="1262">
      <c r="A1262" s="16" t="str">
        <f t="shared" si="1"/>
        <v/>
      </c>
      <c r="B1262" s="17"/>
      <c r="C1262" s="18"/>
      <c r="D1262" s="24"/>
      <c r="J1262" s="22"/>
      <c r="K1262" s="22"/>
      <c r="L1262" s="23"/>
      <c r="M1262" s="23"/>
      <c r="N1262" s="23"/>
      <c r="O1262" s="23"/>
    </row>
    <row r="1263">
      <c r="A1263" s="16" t="str">
        <f t="shared" si="1"/>
        <v/>
      </c>
      <c r="B1263" s="17"/>
      <c r="C1263" s="18"/>
      <c r="D1263" s="24"/>
      <c r="J1263" s="22"/>
      <c r="K1263" s="22"/>
      <c r="L1263" s="23"/>
      <c r="M1263" s="23"/>
      <c r="N1263" s="23"/>
      <c r="O1263" s="23"/>
    </row>
    <row r="1264">
      <c r="A1264" s="16" t="str">
        <f t="shared" si="1"/>
        <v/>
      </c>
      <c r="B1264" s="17"/>
      <c r="C1264" s="18"/>
      <c r="D1264" s="24"/>
      <c r="J1264" s="22"/>
      <c r="K1264" s="22"/>
      <c r="L1264" s="23"/>
      <c r="M1264" s="23"/>
      <c r="N1264" s="23"/>
      <c r="O1264" s="23"/>
    </row>
    <row r="1265">
      <c r="A1265" s="16" t="str">
        <f t="shared" si="1"/>
        <v/>
      </c>
      <c r="B1265" s="17"/>
      <c r="C1265" s="18"/>
      <c r="D1265" s="24"/>
      <c r="J1265" s="22"/>
      <c r="K1265" s="22"/>
      <c r="L1265" s="23"/>
      <c r="M1265" s="23"/>
      <c r="N1265" s="23"/>
      <c r="O1265" s="23"/>
    </row>
    <row r="1266">
      <c r="A1266" s="16" t="str">
        <f t="shared" si="1"/>
        <v/>
      </c>
      <c r="B1266" s="17"/>
      <c r="C1266" s="18"/>
      <c r="D1266" s="24"/>
      <c r="J1266" s="22"/>
      <c r="K1266" s="22"/>
      <c r="L1266" s="23"/>
      <c r="M1266" s="23"/>
      <c r="N1266" s="23"/>
      <c r="O1266" s="23"/>
    </row>
    <row r="1267">
      <c r="A1267" s="16" t="str">
        <f t="shared" si="1"/>
        <v/>
      </c>
      <c r="B1267" s="17"/>
      <c r="C1267" s="18"/>
      <c r="D1267" s="24"/>
      <c r="J1267" s="22"/>
      <c r="K1267" s="22"/>
      <c r="L1267" s="23"/>
      <c r="M1267" s="23"/>
      <c r="N1267" s="23"/>
      <c r="O1267" s="23"/>
    </row>
    <row r="1268">
      <c r="A1268" s="16" t="str">
        <f t="shared" si="1"/>
        <v/>
      </c>
      <c r="B1268" s="17"/>
      <c r="C1268" s="18"/>
      <c r="D1268" s="24"/>
      <c r="J1268" s="22"/>
      <c r="K1268" s="22"/>
      <c r="L1268" s="23"/>
      <c r="M1268" s="23"/>
      <c r="N1268" s="23"/>
      <c r="O1268" s="23"/>
    </row>
    <row r="1269">
      <c r="A1269" s="16" t="str">
        <f t="shared" si="1"/>
        <v/>
      </c>
      <c r="B1269" s="17"/>
      <c r="C1269" s="18"/>
      <c r="D1269" s="24"/>
      <c r="J1269" s="22"/>
      <c r="K1269" s="22"/>
      <c r="L1269" s="23"/>
      <c r="M1269" s="23"/>
      <c r="N1269" s="23"/>
      <c r="O1269" s="23"/>
    </row>
    <row r="1270">
      <c r="A1270" s="16" t="str">
        <f t="shared" si="1"/>
        <v/>
      </c>
      <c r="B1270" s="17"/>
      <c r="C1270" s="18"/>
      <c r="D1270" s="24"/>
      <c r="J1270" s="22"/>
      <c r="K1270" s="22"/>
      <c r="L1270" s="23"/>
      <c r="M1270" s="23"/>
      <c r="N1270" s="23"/>
      <c r="O1270" s="23"/>
    </row>
    <row r="1271">
      <c r="A1271" s="16" t="str">
        <f t="shared" si="1"/>
        <v/>
      </c>
      <c r="B1271" s="17"/>
      <c r="C1271" s="18"/>
      <c r="D1271" s="24"/>
      <c r="J1271" s="22"/>
      <c r="K1271" s="22"/>
      <c r="L1271" s="23"/>
      <c r="M1271" s="23"/>
      <c r="N1271" s="23"/>
      <c r="O1271" s="23"/>
    </row>
    <row r="1272">
      <c r="A1272" s="16" t="str">
        <f t="shared" si="1"/>
        <v/>
      </c>
      <c r="B1272" s="17"/>
      <c r="C1272" s="18"/>
      <c r="D1272" s="24"/>
      <c r="J1272" s="22"/>
      <c r="K1272" s="22"/>
      <c r="L1272" s="23"/>
      <c r="M1272" s="23"/>
      <c r="N1272" s="23"/>
      <c r="O1272" s="23"/>
    </row>
    <row r="1273">
      <c r="A1273" s="16" t="str">
        <f t="shared" si="1"/>
        <v/>
      </c>
      <c r="B1273" s="17"/>
      <c r="C1273" s="18"/>
      <c r="D1273" s="24"/>
      <c r="J1273" s="22"/>
      <c r="K1273" s="22"/>
      <c r="L1273" s="23"/>
      <c r="M1273" s="23"/>
      <c r="N1273" s="23"/>
      <c r="O1273" s="23"/>
    </row>
    <row r="1274">
      <c r="A1274" s="16" t="str">
        <f t="shared" si="1"/>
        <v/>
      </c>
      <c r="B1274" s="17"/>
      <c r="C1274" s="18"/>
      <c r="D1274" s="24"/>
      <c r="J1274" s="22"/>
      <c r="K1274" s="22"/>
      <c r="L1274" s="23"/>
      <c r="M1274" s="23"/>
      <c r="N1274" s="23"/>
      <c r="O1274" s="23"/>
    </row>
    <row r="1275">
      <c r="A1275" s="16" t="str">
        <f t="shared" si="1"/>
        <v/>
      </c>
      <c r="B1275" s="17"/>
      <c r="C1275" s="18"/>
      <c r="D1275" s="24"/>
      <c r="J1275" s="22"/>
      <c r="K1275" s="22"/>
      <c r="L1275" s="23"/>
      <c r="M1275" s="23"/>
      <c r="N1275" s="23"/>
      <c r="O1275" s="23"/>
    </row>
    <row r="1276">
      <c r="A1276" s="16" t="str">
        <f t="shared" si="1"/>
        <v/>
      </c>
      <c r="B1276" s="17"/>
      <c r="C1276" s="18"/>
      <c r="D1276" s="24"/>
      <c r="J1276" s="22"/>
      <c r="K1276" s="22"/>
      <c r="L1276" s="23"/>
      <c r="M1276" s="23"/>
      <c r="N1276" s="23"/>
      <c r="O1276" s="23"/>
    </row>
    <row r="1277">
      <c r="A1277" s="16" t="str">
        <f t="shared" si="1"/>
        <v/>
      </c>
      <c r="B1277" s="17"/>
      <c r="C1277" s="18"/>
      <c r="D1277" s="24"/>
      <c r="J1277" s="22"/>
      <c r="K1277" s="22"/>
      <c r="L1277" s="23"/>
      <c r="M1277" s="23"/>
      <c r="N1277" s="23"/>
      <c r="O1277" s="23"/>
    </row>
    <row r="1278">
      <c r="A1278" s="16" t="str">
        <f t="shared" si="1"/>
        <v/>
      </c>
      <c r="B1278" s="17"/>
      <c r="C1278" s="18"/>
      <c r="D1278" s="24"/>
      <c r="J1278" s="22"/>
      <c r="K1278" s="22"/>
      <c r="L1278" s="23"/>
      <c r="M1278" s="23"/>
      <c r="N1278" s="23"/>
      <c r="O1278" s="23"/>
    </row>
    <row r="1279">
      <c r="A1279" s="16" t="str">
        <f t="shared" si="1"/>
        <v/>
      </c>
      <c r="B1279" s="17"/>
      <c r="C1279" s="18"/>
      <c r="D1279" s="24"/>
      <c r="J1279" s="22"/>
      <c r="K1279" s="22"/>
      <c r="L1279" s="23"/>
      <c r="M1279" s="23"/>
      <c r="N1279" s="23"/>
      <c r="O1279" s="23"/>
    </row>
    <row r="1280">
      <c r="A1280" s="16" t="str">
        <f t="shared" si="1"/>
        <v/>
      </c>
      <c r="B1280" s="17"/>
      <c r="C1280" s="18"/>
      <c r="D1280" s="24"/>
      <c r="J1280" s="22"/>
      <c r="K1280" s="22"/>
      <c r="L1280" s="23"/>
      <c r="M1280" s="23"/>
      <c r="N1280" s="23"/>
      <c r="O1280" s="23"/>
    </row>
    <row r="1281">
      <c r="A1281" s="16" t="str">
        <f t="shared" si="1"/>
        <v/>
      </c>
      <c r="B1281" s="17"/>
      <c r="C1281" s="18"/>
      <c r="D1281" s="24"/>
      <c r="J1281" s="22"/>
      <c r="K1281" s="22"/>
      <c r="L1281" s="23"/>
      <c r="M1281" s="23"/>
      <c r="N1281" s="23"/>
      <c r="O1281" s="23"/>
    </row>
    <row r="1282">
      <c r="A1282" s="16" t="str">
        <f t="shared" si="1"/>
        <v/>
      </c>
      <c r="B1282" s="17"/>
      <c r="C1282" s="18"/>
      <c r="D1282" s="24"/>
      <c r="J1282" s="22"/>
      <c r="K1282" s="22"/>
      <c r="L1282" s="23"/>
      <c r="M1282" s="23"/>
      <c r="N1282" s="23"/>
      <c r="O1282" s="23"/>
    </row>
    <row r="1283">
      <c r="A1283" s="16" t="str">
        <f t="shared" si="1"/>
        <v/>
      </c>
      <c r="B1283" s="17"/>
      <c r="C1283" s="18"/>
      <c r="D1283" s="24"/>
      <c r="J1283" s="22"/>
      <c r="K1283" s="22"/>
      <c r="L1283" s="23"/>
      <c r="M1283" s="23"/>
      <c r="N1283" s="23"/>
      <c r="O1283" s="23"/>
    </row>
    <row r="1284">
      <c r="A1284" s="16" t="str">
        <f t="shared" si="1"/>
        <v/>
      </c>
      <c r="B1284" s="17"/>
      <c r="C1284" s="18"/>
      <c r="D1284" s="24"/>
      <c r="J1284" s="22"/>
      <c r="K1284" s="22"/>
      <c r="L1284" s="23"/>
      <c r="M1284" s="23"/>
      <c r="N1284" s="23"/>
      <c r="O1284" s="23"/>
    </row>
    <row r="1285">
      <c r="A1285" s="16" t="str">
        <f t="shared" si="1"/>
        <v/>
      </c>
      <c r="B1285" s="17"/>
      <c r="C1285" s="18"/>
      <c r="D1285" s="24"/>
      <c r="J1285" s="22"/>
      <c r="K1285" s="22"/>
      <c r="L1285" s="23"/>
      <c r="M1285" s="23"/>
      <c r="N1285" s="23"/>
      <c r="O1285" s="23"/>
    </row>
    <row r="1286">
      <c r="A1286" s="16" t="str">
        <f t="shared" si="1"/>
        <v/>
      </c>
      <c r="B1286" s="17"/>
      <c r="C1286" s="18"/>
      <c r="D1286" s="24"/>
      <c r="J1286" s="22"/>
      <c r="K1286" s="22"/>
      <c r="L1286" s="23"/>
      <c r="M1286" s="23"/>
      <c r="N1286" s="23"/>
      <c r="O1286" s="23"/>
    </row>
    <row r="1287">
      <c r="A1287" s="16" t="str">
        <f t="shared" si="1"/>
        <v/>
      </c>
      <c r="B1287" s="17"/>
      <c r="C1287" s="18"/>
      <c r="D1287" s="24"/>
      <c r="J1287" s="22"/>
      <c r="K1287" s="22"/>
      <c r="L1287" s="23"/>
      <c r="M1287" s="23"/>
      <c r="N1287" s="23"/>
      <c r="O1287" s="23"/>
    </row>
    <row r="1288">
      <c r="A1288" s="16" t="str">
        <f t="shared" si="1"/>
        <v/>
      </c>
      <c r="B1288" s="17"/>
      <c r="C1288" s="18"/>
      <c r="D1288" s="24"/>
      <c r="J1288" s="22"/>
      <c r="K1288" s="22"/>
      <c r="L1288" s="23"/>
      <c r="M1288" s="23"/>
      <c r="N1288" s="23"/>
      <c r="O1288" s="23"/>
    </row>
    <row r="1289">
      <c r="A1289" s="16" t="str">
        <f t="shared" si="1"/>
        <v/>
      </c>
      <c r="B1289" s="17"/>
      <c r="C1289" s="18"/>
      <c r="D1289" s="24"/>
      <c r="J1289" s="22"/>
      <c r="K1289" s="22"/>
      <c r="L1289" s="23"/>
      <c r="M1289" s="23"/>
      <c r="N1289" s="23"/>
      <c r="O1289" s="23"/>
    </row>
    <row r="1290">
      <c r="A1290" s="16" t="str">
        <f t="shared" si="1"/>
        <v/>
      </c>
      <c r="B1290" s="17"/>
      <c r="C1290" s="18"/>
      <c r="D1290" s="24"/>
      <c r="J1290" s="22"/>
      <c r="K1290" s="22"/>
      <c r="L1290" s="23"/>
      <c r="M1290" s="23"/>
      <c r="N1290" s="23"/>
      <c r="O1290" s="23"/>
    </row>
    <row r="1291">
      <c r="A1291" s="16" t="str">
        <f t="shared" si="1"/>
        <v/>
      </c>
      <c r="B1291" s="17"/>
      <c r="C1291" s="18"/>
      <c r="D1291" s="24"/>
      <c r="J1291" s="22"/>
      <c r="K1291" s="22"/>
      <c r="L1291" s="23"/>
      <c r="M1291" s="23"/>
      <c r="N1291" s="23"/>
      <c r="O1291" s="23"/>
    </row>
    <row r="1292">
      <c r="A1292" s="16" t="str">
        <f t="shared" si="1"/>
        <v/>
      </c>
      <c r="B1292" s="17"/>
      <c r="C1292" s="18"/>
      <c r="D1292" s="24"/>
      <c r="J1292" s="22"/>
      <c r="K1292" s="22"/>
      <c r="L1292" s="23"/>
      <c r="M1292" s="23"/>
      <c r="N1292" s="23"/>
      <c r="O1292" s="23"/>
    </row>
    <row r="1293">
      <c r="A1293" s="16" t="str">
        <f t="shared" si="1"/>
        <v/>
      </c>
      <c r="B1293" s="17"/>
      <c r="C1293" s="18"/>
      <c r="D1293" s="24"/>
      <c r="J1293" s="22"/>
      <c r="K1293" s="22"/>
      <c r="L1293" s="23"/>
      <c r="M1293" s="23"/>
      <c r="N1293" s="23"/>
      <c r="O1293" s="23"/>
    </row>
    <row r="1294">
      <c r="A1294" s="16" t="str">
        <f t="shared" si="1"/>
        <v/>
      </c>
      <c r="B1294" s="17"/>
      <c r="C1294" s="18"/>
      <c r="D1294" s="24"/>
      <c r="J1294" s="22"/>
      <c r="K1294" s="22"/>
      <c r="L1294" s="23"/>
      <c r="M1294" s="23"/>
      <c r="N1294" s="23"/>
      <c r="O1294" s="23"/>
    </row>
    <row r="1295">
      <c r="A1295" s="16" t="str">
        <f t="shared" si="1"/>
        <v/>
      </c>
      <c r="B1295" s="17"/>
      <c r="C1295" s="18"/>
      <c r="D1295" s="24"/>
      <c r="J1295" s="22"/>
      <c r="K1295" s="22"/>
      <c r="L1295" s="23"/>
      <c r="M1295" s="23"/>
      <c r="N1295" s="23"/>
      <c r="O1295" s="23"/>
    </row>
    <row r="1296">
      <c r="A1296" s="16" t="str">
        <f t="shared" si="1"/>
        <v/>
      </c>
      <c r="B1296" s="17"/>
      <c r="C1296" s="18"/>
      <c r="D1296" s="24"/>
      <c r="J1296" s="22"/>
      <c r="K1296" s="22"/>
      <c r="L1296" s="23"/>
      <c r="M1296" s="23"/>
      <c r="N1296" s="23"/>
      <c r="O1296" s="23"/>
    </row>
    <row r="1297">
      <c r="A1297" s="16" t="str">
        <f t="shared" si="1"/>
        <v/>
      </c>
      <c r="B1297" s="17"/>
      <c r="C1297" s="18"/>
      <c r="D1297" s="24"/>
      <c r="J1297" s="22"/>
      <c r="K1297" s="22"/>
      <c r="L1297" s="23"/>
      <c r="M1297" s="23"/>
      <c r="N1297" s="23"/>
      <c r="O1297" s="23"/>
    </row>
    <row r="1298">
      <c r="A1298" s="16" t="str">
        <f t="shared" si="1"/>
        <v/>
      </c>
      <c r="B1298" s="17"/>
      <c r="C1298" s="18"/>
      <c r="D1298" s="24"/>
      <c r="J1298" s="22"/>
      <c r="K1298" s="22"/>
      <c r="L1298" s="23"/>
      <c r="M1298" s="23"/>
      <c r="N1298" s="23"/>
      <c r="O1298" s="23"/>
    </row>
    <row r="1299">
      <c r="A1299" s="16" t="str">
        <f t="shared" si="1"/>
        <v/>
      </c>
      <c r="B1299" s="17"/>
      <c r="C1299" s="18"/>
      <c r="D1299" s="24"/>
      <c r="J1299" s="22"/>
      <c r="K1299" s="22"/>
      <c r="L1299" s="23"/>
      <c r="M1299" s="23"/>
      <c r="N1299" s="23"/>
      <c r="O1299" s="23"/>
    </row>
    <row r="1300">
      <c r="A1300" s="16" t="str">
        <f t="shared" si="1"/>
        <v/>
      </c>
      <c r="B1300" s="17"/>
      <c r="C1300" s="18"/>
      <c r="D1300" s="24"/>
      <c r="J1300" s="22"/>
      <c r="K1300" s="22"/>
      <c r="L1300" s="23"/>
      <c r="M1300" s="23"/>
      <c r="N1300" s="23"/>
      <c r="O1300" s="23"/>
    </row>
    <row r="1301">
      <c r="A1301" s="16" t="str">
        <f t="shared" si="1"/>
        <v/>
      </c>
      <c r="B1301" s="17"/>
      <c r="C1301" s="18"/>
      <c r="D1301" s="24"/>
      <c r="J1301" s="22"/>
      <c r="K1301" s="22"/>
      <c r="L1301" s="23"/>
      <c r="M1301" s="23"/>
      <c r="N1301" s="23"/>
      <c r="O1301" s="23"/>
    </row>
    <row r="1302">
      <c r="A1302" s="16" t="str">
        <f t="shared" si="1"/>
        <v/>
      </c>
      <c r="B1302" s="17"/>
      <c r="C1302" s="18"/>
      <c r="D1302" s="24"/>
      <c r="J1302" s="22"/>
      <c r="K1302" s="22"/>
      <c r="L1302" s="23"/>
      <c r="M1302" s="23"/>
      <c r="N1302" s="23"/>
      <c r="O1302" s="23"/>
    </row>
    <row r="1303">
      <c r="A1303" s="16" t="str">
        <f t="shared" si="1"/>
        <v/>
      </c>
      <c r="B1303" s="17"/>
      <c r="C1303" s="18"/>
      <c r="D1303" s="24"/>
      <c r="J1303" s="22"/>
      <c r="K1303" s="22"/>
      <c r="L1303" s="23"/>
      <c r="M1303" s="23"/>
      <c r="N1303" s="23"/>
      <c r="O1303" s="23"/>
    </row>
    <row r="1304">
      <c r="A1304" s="16" t="str">
        <f t="shared" si="1"/>
        <v/>
      </c>
      <c r="B1304" s="17"/>
      <c r="C1304" s="18"/>
      <c r="D1304" s="24"/>
      <c r="J1304" s="22"/>
      <c r="K1304" s="22"/>
      <c r="L1304" s="23"/>
      <c r="M1304" s="23"/>
      <c r="N1304" s="23"/>
      <c r="O1304" s="23"/>
    </row>
    <row r="1305">
      <c r="A1305" s="16" t="str">
        <f t="shared" si="1"/>
        <v/>
      </c>
      <c r="B1305" s="17"/>
      <c r="C1305" s="18"/>
      <c r="D1305" s="24"/>
      <c r="J1305" s="22"/>
      <c r="K1305" s="22"/>
      <c r="L1305" s="23"/>
      <c r="M1305" s="23"/>
      <c r="N1305" s="23"/>
      <c r="O1305" s="23"/>
    </row>
    <row r="1306">
      <c r="A1306" s="16" t="str">
        <f t="shared" si="1"/>
        <v/>
      </c>
      <c r="B1306" s="17"/>
      <c r="C1306" s="18"/>
      <c r="D1306" s="24"/>
      <c r="J1306" s="22"/>
      <c r="K1306" s="22"/>
      <c r="L1306" s="23"/>
      <c r="M1306" s="23"/>
      <c r="N1306" s="23"/>
      <c r="O1306" s="23"/>
    </row>
    <row r="1307">
      <c r="A1307" s="16" t="str">
        <f t="shared" si="1"/>
        <v/>
      </c>
      <c r="B1307" s="17"/>
      <c r="C1307" s="18"/>
      <c r="D1307" s="24"/>
      <c r="J1307" s="22"/>
      <c r="K1307" s="22"/>
      <c r="L1307" s="23"/>
      <c r="M1307" s="23"/>
      <c r="N1307" s="23"/>
      <c r="O1307" s="23"/>
    </row>
    <row r="1308">
      <c r="A1308" s="16" t="str">
        <f t="shared" si="1"/>
        <v/>
      </c>
      <c r="B1308" s="17"/>
      <c r="C1308" s="18"/>
      <c r="D1308" s="24"/>
      <c r="J1308" s="22"/>
      <c r="K1308" s="22"/>
      <c r="L1308" s="23"/>
      <c r="M1308" s="23"/>
      <c r="N1308" s="23"/>
      <c r="O1308" s="23"/>
    </row>
    <row r="1309">
      <c r="A1309" s="16" t="str">
        <f t="shared" si="1"/>
        <v/>
      </c>
      <c r="B1309" s="17"/>
      <c r="C1309" s="18"/>
      <c r="D1309" s="24"/>
      <c r="J1309" s="22"/>
      <c r="K1309" s="22"/>
      <c r="L1309" s="23"/>
      <c r="M1309" s="23"/>
      <c r="N1309" s="23"/>
      <c r="O1309" s="23"/>
    </row>
    <row r="1310">
      <c r="A1310" s="16" t="str">
        <f t="shared" si="1"/>
        <v/>
      </c>
      <c r="B1310" s="17"/>
      <c r="C1310" s="18"/>
      <c r="D1310" s="24"/>
      <c r="J1310" s="22"/>
      <c r="K1310" s="22"/>
      <c r="L1310" s="23"/>
      <c r="M1310" s="23"/>
      <c r="N1310" s="23"/>
      <c r="O1310" s="23"/>
    </row>
    <row r="1311">
      <c r="A1311" s="16" t="str">
        <f t="shared" si="1"/>
        <v/>
      </c>
      <c r="B1311" s="17"/>
      <c r="C1311" s="18"/>
      <c r="D1311" s="24"/>
      <c r="J1311" s="22"/>
      <c r="K1311" s="22"/>
      <c r="L1311" s="23"/>
      <c r="M1311" s="23"/>
      <c r="N1311" s="23"/>
      <c r="O1311" s="23"/>
    </row>
    <row r="1312">
      <c r="A1312" s="16" t="str">
        <f t="shared" si="1"/>
        <v/>
      </c>
      <c r="B1312" s="17"/>
      <c r="C1312" s="18"/>
      <c r="D1312" s="24"/>
      <c r="J1312" s="22"/>
      <c r="K1312" s="22"/>
      <c r="L1312" s="23"/>
      <c r="M1312" s="23"/>
      <c r="N1312" s="23"/>
      <c r="O1312" s="23"/>
    </row>
    <row r="1313">
      <c r="A1313" s="16" t="str">
        <f t="shared" si="1"/>
        <v/>
      </c>
      <c r="B1313" s="17"/>
      <c r="C1313" s="18"/>
      <c r="D1313" s="24"/>
      <c r="J1313" s="22"/>
      <c r="K1313" s="22"/>
      <c r="L1313" s="23"/>
      <c r="M1313" s="23"/>
      <c r="N1313" s="23"/>
      <c r="O1313" s="23"/>
    </row>
    <row r="1314">
      <c r="A1314" s="16" t="str">
        <f t="shared" si="1"/>
        <v/>
      </c>
      <c r="B1314" s="17"/>
      <c r="C1314" s="18"/>
      <c r="D1314" s="24"/>
      <c r="J1314" s="22"/>
      <c r="K1314" s="22"/>
      <c r="L1314" s="23"/>
      <c r="M1314" s="23"/>
      <c r="N1314" s="23"/>
      <c r="O1314" s="23"/>
    </row>
    <row r="1315">
      <c r="A1315" s="16" t="str">
        <f t="shared" si="1"/>
        <v/>
      </c>
      <c r="B1315" s="17"/>
      <c r="C1315" s="18"/>
      <c r="D1315" s="24"/>
      <c r="J1315" s="22"/>
      <c r="K1315" s="22"/>
      <c r="L1315" s="23"/>
      <c r="M1315" s="23"/>
      <c r="N1315" s="23"/>
      <c r="O1315" s="23"/>
    </row>
    <row r="1316">
      <c r="A1316" s="16" t="str">
        <f t="shared" si="1"/>
        <v/>
      </c>
      <c r="B1316" s="17"/>
      <c r="C1316" s="18"/>
      <c r="D1316" s="24"/>
      <c r="J1316" s="22"/>
      <c r="K1316" s="22"/>
      <c r="L1316" s="23"/>
      <c r="M1316" s="23"/>
      <c r="N1316" s="23"/>
      <c r="O1316" s="23"/>
    </row>
    <row r="1317">
      <c r="A1317" s="16" t="str">
        <f t="shared" si="1"/>
        <v/>
      </c>
      <c r="B1317" s="17"/>
      <c r="C1317" s="18"/>
      <c r="D1317" s="24"/>
      <c r="J1317" s="22"/>
      <c r="K1317" s="22"/>
      <c r="L1317" s="23"/>
      <c r="M1317" s="23"/>
      <c r="N1317" s="23"/>
      <c r="O1317" s="23"/>
    </row>
    <row r="1318">
      <c r="A1318" s="16" t="str">
        <f t="shared" si="1"/>
        <v/>
      </c>
      <c r="B1318" s="17"/>
      <c r="C1318" s="18"/>
      <c r="D1318" s="24"/>
      <c r="J1318" s="22"/>
      <c r="K1318" s="22"/>
      <c r="L1318" s="23"/>
      <c r="M1318" s="23"/>
      <c r="N1318" s="23"/>
      <c r="O1318" s="23"/>
    </row>
    <row r="1319">
      <c r="A1319" s="16" t="str">
        <f t="shared" si="1"/>
        <v/>
      </c>
      <c r="B1319" s="17"/>
      <c r="C1319" s="18"/>
      <c r="D1319" s="24"/>
      <c r="J1319" s="22"/>
      <c r="K1319" s="22"/>
      <c r="L1319" s="23"/>
      <c r="M1319" s="23"/>
      <c r="N1319" s="23"/>
      <c r="O1319" s="23"/>
    </row>
    <row r="1320">
      <c r="A1320" s="16" t="str">
        <f t="shared" si="1"/>
        <v/>
      </c>
      <c r="B1320" s="17"/>
      <c r="C1320" s="18"/>
      <c r="D1320" s="24"/>
      <c r="J1320" s="22"/>
      <c r="K1320" s="22"/>
      <c r="L1320" s="23"/>
      <c r="M1320" s="23"/>
      <c r="N1320" s="23"/>
      <c r="O1320" s="23"/>
    </row>
    <row r="1321">
      <c r="A1321" s="16" t="str">
        <f t="shared" si="1"/>
        <v/>
      </c>
      <c r="B1321" s="17"/>
      <c r="C1321" s="18"/>
      <c r="D1321" s="24"/>
      <c r="J1321" s="22"/>
      <c r="K1321" s="22"/>
      <c r="L1321" s="23"/>
      <c r="M1321" s="23"/>
      <c r="N1321" s="23"/>
      <c r="O1321" s="23"/>
    </row>
    <row r="1322">
      <c r="A1322" s="16" t="str">
        <f t="shared" si="1"/>
        <v/>
      </c>
      <c r="B1322" s="17"/>
      <c r="C1322" s="18"/>
      <c r="D1322" s="24"/>
      <c r="J1322" s="22"/>
      <c r="K1322" s="22"/>
      <c r="L1322" s="23"/>
      <c r="M1322" s="23"/>
      <c r="N1322" s="23"/>
      <c r="O1322" s="23"/>
    </row>
    <row r="1323">
      <c r="A1323" s="16" t="str">
        <f t="shared" si="1"/>
        <v/>
      </c>
      <c r="B1323" s="17"/>
      <c r="C1323" s="18"/>
      <c r="D1323" s="24"/>
      <c r="J1323" s="22"/>
      <c r="K1323" s="22"/>
      <c r="L1323" s="23"/>
      <c r="M1323" s="23"/>
      <c r="N1323" s="23"/>
      <c r="O1323" s="23"/>
    </row>
    <row r="1324">
      <c r="A1324" s="16" t="str">
        <f t="shared" si="1"/>
        <v/>
      </c>
      <c r="B1324" s="17"/>
      <c r="C1324" s="18"/>
      <c r="D1324" s="24"/>
      <c r="J1324" s="22"/>
      <c r="K1324" s="22"/>
      <c r="L1324" s="23"/>
      <c r="M1324" s="23"/>
      <c r="N1324" s="23"/>
      <c r="O1324" s="23"/>
    </row>
    <row r="1325">
      <c r="A1325" s="16" t="str">
        <f t="shared" si="1"/>
        <v/>
      </c>
      <c r="B1325" s="17"/>
      <c r="C1325" s="18"/>
      <c r="D1325" s="24"/>
      <c r="J1325" s="22"/>
      <c r="K1325" s="22"/>
      <c r="L1325" s="23"/>
      <c r="M1325" s="23"/>
      <c r="N1325" s="23"/>
      <c r="O1325" s="23"/>
    </row>
    <row r="1326">
      <c r="A1326" s="16" t="str">
        <f t="shared" si="1"/>
        <v/>
      </c>
      <c r="B1326" s="17"/>
      <c r="C1326" s="18"/>
      <c r="D1326" s="24"/>
      <c r="J1326" s="22"/>
      <c r="K1326" s="22"/>
      <c r="L1326" s="23"/>
      <c r="M1326" s="23"/>
      <c r="N1326" s="23"/>
      <c r="O1326" s="23"/>
    </row>
    <row r="1327">
      <c r="A1327" s="16" t="str">
        <f t="shared" si="1"/>
        <v/>
      </c>
      <c r="B1327" s="17"/>
      <c r="C1327" s="18"/>
      <c r="D1327" s="24"/>
      <c r="J1327" s="22"/>
      <c r="K1327" s="22"/>
      <c r="L1327" s="23"/>
      <c r="M1327" s="23"/>
      <c r="N1327" s="23"/>
      <c r="O1327" s="23"/>
    </row>
    <row r="1328">
      <c r="A1328" s="16" t="str">
        <f t="shared" si="1"/>
        <v/>
      </c>
      <c r="B1328" s="17"/>
      <c r="C1328" s="18"/>
      <c r="D1328" s="24"/>
      <c r="J1328" s="22"/>
      <c r="K1328" s="22"/>
      <c r="L1328" s="23"/>
      <c r="M1328" s="23"/>
      <c r="N1328" s="23"/>
      <c r="O1328" s="23"/>
    </row>
    <row r="1329">
      <c r="A1329" s="16" t="str">
        <f t="shared" si="1"/>
        <v/>
      </c>
      <c r="B1329" s="17"/>
      <c r="C1329" s="18"/>
      <c r="D1329" s="24"/>
      <c r="J1329" s="22"/>
      <c r="K1329" s="22"/>
      <c r="L1329" s="23"/>
      <c r="M1329" s="23"/>
      <c r="N1329" s="23"/>
      <c r="O1329" s="23"/>
    </row>
    <row r="1330">
      <c r="A1330" s="16" t="str">
        <f t="shared" si="1"/>
        <v/>
      </c>
      <c r="B1330" s="17"/>
      <c r="C1330" s="18"/>
      <c r="D1330" s="24"/>
      <c r="J1330" s="22"/>
      <c r="K1330" s="22"/>
      <c r="L1330" s="23"/>
      <c r="M1330" s="23"/>
      <c r="N1330" s="23"/>
      <c r="O1330" s="23"/>
    </row>
    <row r="1331">
      <c r="A1331" s="16" t="str">
        <f t="shared" si="1"/>
        <v/>
      </c>
      <c r="B1331" s="17"/>
      <c r="C1331" s="18"/>
      <c r="D1331" s="24"/>
      <c r="J1331" s="22"/>
      <c r="K1331" s="22"/>
      <c r="L1331" s="23"/>
      <c r="M1331" s="23"/>
      <c r="N1331" s="23"/>
      <c r="O1331" s="23"/>
    </row>
    <row r="1332">
      <c r="A1332" s="16" t="str">
        <f t="shared" si="1"/>
        <v/>
      </c>
      <c r="B1332" s="17"/>
      <c r="C1332" s="18"/>
      <c r="D1332" s="24"/>
      <c r="J1332" s="22"/>
      <c r="K1332" s="22"/>
      <c r="L1332" s="23"/>
      <c r="M1332" s="23"/>
      <c r="N1332" s="23"/>
      <c r="O1332" s="23"/>
    </row>
    <row r="1333">
      <c r="A1333" s="16" t="str">
        <f t="shared" si="1"/>
        <v/>
      </c>
      <c r="B1333" s="17"/>
      <c r="C1333" s="18"/>
      <c r="D1333" s="24"/>
      <c r="J1333" s="22"/>
      <c r="K1333" s="22"/>
      <c r="L1333" s="23"/>
      <c r="M1333" s="23"/>
      <c r="N1333" s="23"/>
      <c r="O1333" s="23"/>
    </row>
    <row r="1334">
      <c r="A1334" s="16" t="str">
        <f t="shared" si="1"/>
        <v/>
      </c>
      <c r="B1334" s="17"/>
      <c r="C1334" s="18"/>
      <c r="D1334" s="24"/>
      <c r="J1334" s="22"/>
      <c r="K1334" s="22"/>
      <c r="L1334" s="23"/>
      <c r="M1334" s="23"/>
      <c r="N1334" s="23"/>
      <c r="O1334" s="23"/>
    </row>
    <row r="1335">
      <c r="A1335" s="16" t="str">
        <f t="shared" si="1"/>
        <v/>
      </c>
      <c r="B1335" s="17"/>
      <c r="C1335" s="18"/>
      <c r="D1335" s="24"/>
      <c r="J1335" s="22"/>
      <c r="K1335" s="22"/>
      <c r="L1335" s="23"/>
      <c r="M1335" s="23"/>
      <c r="N1335" s="23"/>
      <c r="O1335" s="23"/>
    </row>
    <row r="1336">
      <c r="A1336" s="16" t="str">
        <f t="shared" si="1"/>
        <v/>
      </c>
      <c r="B1336" s="17"/>
      <c r="C1336" s="18"/>
      <c r="D1336" s="24"/>
      <c r="J1336" s="22"/>
      <c r="K1336" s="22"/>
      <c r="L1336" s="23"/>
      <c r="M1336" s="23"/>
      <c r="N1336" s="23"/>
      <c r="O1336" s="23"/>
    </row>
    <row r="1337">
      <c r="A1337" s="16" t="str">
        <f t="shared" si="1"/>
        <v/>
      </c>
      <c r="B1337" s="17"/>
      <c r="C1337" s="18"/>
      <c r="D1337" s="24"/>
      <c r="J1337" s="22"/>
      <c r="K1337" s="22"/>
      <c r="L1337" s="23"/>
      <c r="M1337" s="23"/>
      <c r="N1337" s="23"/>
      <c r="O1337" s="23"/>
    </row>
    <row r="1338">
      <c r="A1338" s="16" t="str">
        <f t="shared" si="1"/>
        <v/>
      </c>
      <c r="B1338" s="17"/>
      <c r="C1338" s="18"/>
      <c r="D1338" s="24"/>
      <c r="J1338" s="22"/>
      <c r="K1338" s="22"/>
      <c r="L1338" s="23"/>
      <c r="M1338" s="23"/>
      <c r="N1338" s="23"/>
      <c r="O1338" s="23"/>
    </row>
    <row r="1339">
      <c r="A1339" s="16" t="str">
        <f t="shared" si="1"/>
        <v/>
      </c>
      <c r="B1339" s="17"/>
      <c r="C1339" s="18"/>
      <c r="D1339" s="24"/>
      <c r="J1339" s="22"/>
      <c r="K1339" s="22"/>
      <c r="L1339" s="23"/>
      <c r="M1339" s="23"/>
      <c r="N1339" s="23"/>
      <c r="O1339" s="23"/>
    </row>
    <row r="1340">
      <c r="A1340" s="16" t="str">
        <f t="shared" si="1"/>
        <v/>
      </c>
      <c r="B1340" s="17"/>
      <c r="C1340" s="18"/>
      <c r="D1340" s="24"/>
      <c r="J1340" s="22"/>
      <c r="K1340" s="22"/>
      <c r="L1340" s="23"/>
      <c r="M1340" s="23"/>
      <c r="N1340" s="23"/>
      <c r="O1340" s="23"/>
    </row>
    <row r="1341">
      <c r="A1341" s="16" t="str">
        <f t="shared" si="1"/>
        <v/>
      </c>
      <c r="B1341" s="17"/>
      <c r="C1341" s="18"/>
      <c r="D1341" s="24"/>
      <c r="J1341" s="22"/>
      <c r="K1341" s="22"/>
      <c r="L1341" s="23"/>
      <c r="M1341" s="23"/>
      <c r="N1341" s="23"/>
      <c r="O1341" s="23"/>
    </row>
    <row r="1342">
      <c r="A1342" s="16" t="str">
        <f t="shared" si="1"/>
        <v/>
      </c>
      <c r="B1342" s="17"/>
      <c r="C1342" s="18"/>
      <c r="D1342" s="24"/>
      <c r="J1342" s="22"/>
      <c r="K1342" s="22"/>
      <c r="L1342" s="23"/>
      <c r="M1342" s="23"/>
      <c r="N1342" s="23"/>
      <c r="O1342" s="23"/>
    </row>
    <row r="1343">
      <c r="A1343" s="16" t="str">
        <f t="shared" si="1"/>
        <v/>
      </c>
      <c r="B1343" s="17"/>
      <c r="C1343" s="18"/>
      <c r="D1343" s="24"/>
      <c r="J1343" s="22"/>
      <c r="K1343" s="22"/>
      <c r="L1343" s="23"/>
      <c r="M1343" s="23"/>
      <c r="N1343" s="23"/>
      <c r="O1343" s="23"/>
    </row>
    <row r="1344">
      <c r="A1344" s="16" t="str">
        <f t="shared" si="1"/>
        <v/>
      </c>
      <c r="B1344" s="17"/>
      <c r="C1344" s="18"/>
      <c r="D1344" s="24"/>
      <c r="J1344" s="22"/>
      <c r="K1344" s="22"/>
      <c r="L1344" s="23"/>
      <c r="M1344" s="23"/>
      <c r="N1344" s="23"/>
      <c r="O1344" s="23"/>
    </row>
    <row r="1345">
      <c r="A1345" s="16" t="str">
        <f t="shared" si="1"/>
        <v/>
      </c>
      <c r="B1345" s="17"/>
      <c r="C1345" s="18"/>
      <c r="D1345" s="24"/>
      <c r="J1345" s="22"/>
      <c r="K1345" s="22"/>
      <c r="L1345" s="23"/>
      <c r="M1345" s="23"/>
      <c r="N1345" s="23"/>
      <c r="O1345" s="23"/>
    </row>
    <row r="1346">
      <c r="A1346" s="16" t="str">
        <f t="shared" si="1"/>
        <v/>
      </c>
      <c r="B1346" s="17"/>
      <c r="C1346" s="18"/>
      <c r="D1346" s="24"/>
      <c r="J1346" s="22"/>
      <c r="K1346" s="22"/>
      <c r="L1346" s="23"/>
      <c r="M1346" s="23"/>
      <c r="N1346" s="23"/>
      <c r="O1346" s="23"/>
    </row>
    <row r="1347">
      <c r="A1347" s="16" t="str">
        <f t="shared" si="1"/>
        <v/>
      </c>
      <c r="B1347" s="17"/>
      <c r="C1347" s="18"/>
      <c r="D1347" s="24"/>
      <c r="J1347" s="22"/>
      <c r="K1347" s="22"/>
      <c r="L1347" s="23"/>
      <c r="M1347" s="23"/>
      <c r="N1347" s="23"/>
      <c r="O1347" s="23"/>
    </row>
    <row r="1348">
      <c r="A1348" s="16" t="str">
        <f t="shared" si="1"/>
        <v/>
      </c>
      <c r="B1348" s="17"/>
      <c r="C1348" s="18"/>
      <c r="D1348" s="24"/>
      <c r="J1348" s="22"/>
      <c r="K1348" s="22"/>
      <c r="L1348" s="23"/>
      <c r="M1348" s="23"/>
      <c r="N1348" s="23"/>
      <c r="O1348" s="23"/>
    </row>
    <row r="1349">
      <c r="A1349" s="16" t="str">
        <f t="shared" si="1"/>
        <v/>
      </c>
      <c r="B1349" s="17"/>
      <c r="C1349" s="18"/>
      <c r="D1349" s="24"/>
      <c r="J1349" s="22"/>
      <c r="K1349" s="22"/>
      <c r="L1349" s="23"/>
      <c r="M1349" s="23"/>
      <c r="N1349" s="23"/>
      <c r="O1349" s="23"/>
    </row>
    <row r="1350">
      <c r="A1350" s="16" t="str">
        <f t="shared" si="1"/>
        <v/>
      </c>
      <c r="B1350" s="17"/>
      <c r="C1350" s="18"/>
      <c r="D1350" s="24"/>
      <c r="J1350" s="22"/>
      <c r="K1350" s="22"/>
      <c r="L1350" s="23"/>
      <c r="M1350" s="23"/>
      <c r="N1350" s="23"/>
      <c r="O1350" s="23"/>
    </row>
    <row r="1351">
      <c r="A1351" s="16" t="str">
        <f t="shared" si="1"/>
        <v/>
      </c>
      <c r="B1351" s="17"/>
      <c r="C1351" s="18"/>
      <c r="D1351" s="24"/>
      <c r="J1351" s="22"/>
      <c r="K1351" s="22"/>
      <c r="L1351" s="23"/>
      <c r="M1351" s="23"/>
      <c r="N1351" s="23"/>
      <c r="O1351" s="23"/>
    </row>
    <row r="1352">
      <c r="A1352" s="16" t="str">
        <f t="shared" si="1"/>
        <v/>
      </c>
      <c r="B1352" s="17"/>
      <c r="C1352" s="18"/>
      <c r="D1352" s="24"/>
      <c r="J1352" s="22"/>
      <c r="K1352" s="22"/>
      <c r="L1352" s="23"/>
      <c r="M1352" s="23"/>
      <c r="N1352" s="23"/>
      <c r="O1352" s="23"/>
    </row>
    <row r="1353">
      <c r="A1353" s="16" t="str">
        <f t="shared" si="1"/>
        <v/>
      </c>
      <c r="B1353" s="17"/>
      <c r="C1353" s="18"/>
      <c r="D1353" s="24"/>
      <c r="J1353" s="22"/>
      <c r="K1353" s="22"/>
      <c r="L1353" s="23"/>
      <c r="M1353" s="23"/>
      <c r="N1353" s="23"/>
      <c r="O1353" s="23"/>
    </row>
    <row r="1354">
      <c r="A1354" s="16" t="str">
        <f t="shared" si="1"/>
        <v/>
      </c>
      <c r="B1354" s="17"/>
      <c r="C1354" s="18"/>
      <c r="D1354" s="24"/>
      <c r="J1354" s="22"/>
      <c r="K1354" s="22"/>
      <c r="L1354" s="23"/>
      <c r="M1354" s="23"/>
      <c r="N1354" s="23"/>
      <c r="O1354" s="23"/>
    </row>
    <row r="1355">
      <c r="A1355" s="16" t="str">
        <f t="shared" si="1"/>
        <v/>
      </c>
      <c r="B1355" s="17"/>
      <c r="C1355" s="18"/>
      <c r="D1355" s="24"/>
      <c r="J1355" s="22"/>
      <c r="K1355" s="22"/>
      <c r="L1355" s="23"/>
      <c r="M1355" s="23"/>
      <c r="N1355" s="23"/>
      <c r="O1355" s="23"/>
    </row>
    <row r="1356">
      <c r="A1356" s="16" t="str">
        <f t="shared" si="1"/>
        <v/>
      </c>
      <c r="B1356" s="17"/>
      <c r="C1356" s="18"/>
      <c r="D1356" s="24"/>
      <c r="J1356" s="22"/>
      <c r="K1356" s="22"/>
      <c r="L1356" s="23"/>
      <c r="M1356" s="23"/>
      <c r="N1356" s="23"/>
      <c r="O1356" s="23"/>
    </row>
    <row r="1357">
      <c r="A1357" s="16" t="str">
        <f t="shared" si="1"/>
        <v/>
      </c>
      <c r="B1357" s="17"/>
      <c r="C1357" s="18"/>
      <c r="D1357" s="24"/>
      <c r="J1357" s="22"/>
      <c r="K1357" s="22"/>
      <c r="L1357" s="23"/>
      <c r="M1357" s="23"/>
      <c r="N1357" s="23"/>
      <c r="O1357" s="23"/>
    </row>
    <row r="1358">
      <c r="A1358" s="16" t="str">
        <f t="shared" si="1"/>
        <v/>
      </c>
      <c r="B1358" s="17"/>
      <c r="C1358" s="18"/>
      <c r="D1358" s="24"/>
      <c r="J1358" s="22"/>
      <c r="K1358" s="22"/>
      <c r="L1358" s="23"/>
      <c r="M1358" s="23"/>
      <c r="N1358" s="23"/>
      <c r="O1358" s="23"/>
    </row>
    <row r="1359">
      <c r="A1359" s="16" t="str">
        <f t="shared" si="1"/>
        <v/>
      </c>
      <c r="B1359" s="17"/>
      <c r="C1359" s="18"/>
      <c r="D1359" s="24"/>
      <c r="J1359" s="22"/>
      <c r="K1359" s="22"/>
      <c r="L1359" s="23"/>
      <c r="M1359" s="23"/>
      <c r="N1359" s="23"/>
      <c r="O1359" s="23"/>
    </row>
    <row r="1360">
      <c r="A1360" s="16" t="str">
        <f t="shared" si="1"/>
        <v/>
      </c>
      <c r="B1360" s="17"/>
      <c r="C1360" s="18"/>
      <c r="D1360" s="24"/>
      <c r="J1360" s="22"/>
      <c r="K1360" s="22"/>
      <c r="L1360" s="23"/>
      <c r="M1360" s="23"/>
      <c r="N1360" s="23"/>
      <c r="O1360" s="23"/>
    </row>
    <row r="1361">
      <c r="A1361" s="16" t="str">
        <f t="shared" si="1"/>
        <v/>
      </c>
      <c r="B1361" s="17"/>
      <c r="C1361" s="18"/>
      <c r="D1361" s="24"/>
      <c r="J1361" s="22"/>
      <c r="K1361" s="22"/>
      <c r="L1361" s="23"/>
      <c r="M1361" s="23"/>
      <c r="N1361" s="23"/>
      <c r="O1361" s="23"/>
    </row>
    <row r="1362">
      <c r="A1362" s="16" t="str">
        <f t="shared" si="1"/>
        <v/>
      </c>
      <c r="B1362" s="17"/>
      <c r="C1362" s="18"/>
      <c r="D1362" s="24"/>
      <c r="J1362" s="22"/>
      <c r="K1362" s="22"/>
      <c r="L1362" s="23"/>
      <c r="M1362" s="23"/>
      <c r="N1362" s="23"/>
      <c r="O1362" s="23"/>
    </row>
    <row r="1363">
      <c r="A1363" s="16" t="str">
        <f t="shared" si="1"/>
        <v/>
      </c>
      <c r="B1363" s="17"/>
      <c r="C1363" s="18"/>
      <c r="D1363" s="24"/>
      <c r="J1363" s="22"/>
      <c r="K1363" s="22"/>
      <c r="L1363" s="23"/>
      <c r="M1363" s="23"/>
      <c r="N1363" s="23"/>
      <c r="O1363" s="23"/>
    </row>
    <row r="1364">
      <c r="A1364" s="16" t="str">
        <f t="shared" si="1"/>
        <v/>
      </c>
      <c r="B1364" s="17"/>
      <c r="C1364" s="18"/>
      <c r="D1364" s="24"/>
      <c r="J1364" s="22"/>
      <c r="K1364" s="22"/>
      <c r="L1364" s="23"/>
      <c r="M1364" s="23"/>
      <c r="N1364" s="23"/>
      <c r="O1364" s="23"/>
    </row>
    <row r="1365">
      <c r="A1365" s="16" t="str">
        <f t="shared" si="1"/>
        <v/>
      </c>
      <c r="B1365" s="17"/>
      <c r="C1365" s="18"/>
      <c r="D1365" s="24"/>
      <c r="J1365" s="22"/>
      <c r="K1365" s="22"/>
      <c r="L1365" s="23"/>
      <c r="M1365" s="23"/>
      <c r="N1365" s="23"/>
      <c r="O1365" s="23"/>
    </row>
    <row r="1366">
      <c r="A1366" s="16" t="str">
        <f t="shared" si="1"/>
        <v/>
      </c>
      <c r="B1366" s="17"/>
      <c r="C1366" s="18"/>
      <c r="D1366" s="24"/>
      <c r="J1366" s="22"/>
      <c r="K1366" s="22"/>
      <c r="L1366" s="23"/>
      <c r="M1366" s="23"/>
      <c r="N1366" s="23"/>
      <c r="O1366" s="23"/>
    </row>
    <row r="1367">
      <c r="A1367" s="16" t="str">
        <f t="shared" si="1"/>
        <v/>
      </c>
      <c r="B1367" s="17"/>
      <c r="C1367" s="18"/>
      <c r="D1367" s="24"/>
      <c r="J1367" s="22"/>
      <c r="K1367" s="22"/>
      <c r="L1367" s="23"/>
      <c r="M1367" s="23"/>
      <c r="N1367" s="23"/>
      <c r="O1367" s="23"/>
    </row>
    <row r="1368">
      <c r="A1368" s="16" t="str">
        <f t="shared" si="1"/>
        <v/>
      </c>
      <c r="B1368" s="17"/>
      <c r="C1368" s="18"/>
      <c r="D1368" s="24"/>
      <c r="J1368" s="22"/>
      <c r="K1368" s="22"/>
      <c r="L1368" s="23"/>
      <c r="M1368" s="23"/>
      <c r="N1368" s="23"/>
      <c r="O1368" s="23"/>
    </row>
    <row r="1369">
      <c r="A1369" s="16" t="str">
        <f t="shared" si="1"/>
        <v/>
      </c>
      <c r="B1369" s="17"/>
      <c r="C1369" s="18"/>
      <c r="D1369" s="24"/>
      <c r="J1369" s="22"/>
      <c r="K1369" s="22"/>
      <c r="L1369" s="23"/>
      <c r="M1369" s="23"/>
      <c r="N1369" s="23"/>
      <c r="O1369" s="23"/>
    </row>
    <row r="1370">
      <c r="A1370" s="16" t="str">
        <f t="shared" si="1"/>
        <v/>
      </c>
      <c r="B1370" s="17"/>
      <c r="C1370" s="18"/>
      <c r="D1370" s="24"/>
      <c r="J1370" s="22"/>
      <c r="K1370" s="22"/>
      <c r="L1370" s="23"/>
      <c r="M1370" s="23"/>
      <c r="N1370" s="23"/>
      <c r="O1370" s="23"/>
    </row>
    <row r="1371">
      <c r="A1371" s="16" t="str">
        <f t="shared" si="1"/>
        <v/>
      </c>
      <c r="B1371" s="17"/>
      <c r="C1371" s="18"/>
      <c r="D1371" s="24"/>
      <c r="J1371" s="22"/>
      <c r="K1371" s="22"/>
      <c r="L1371" s="23"/>
      <c r="M1371" s="23"/>
      <c r="N1371" s="23"/>
      <c r="O1371" s="23"/>
    </row>
    <row r="1372">
      <c r="A1372" s="16" t="str">
        <f t="shared" si="1"/>
        <v/>
      </c>
      <c r="B1372" s="17"/>
      <c r="C1372" s="18"/>
      <c r="D1372" s="24"/>
      <c r="J1372" s="22"/>
      <c r="K1372" s="22"/>
      <c r="L1372" s="23"/>
      <c r="M1372" s="23"/>
      <c r="N1372" s="23"/>
      <c r="O1372" s="23"/>
    </row>
    <row r="1373">
      <c r="A1373" s="16" t="str">
        <f t="shared" si="1"/>
        <v/>
      </c>
      <c r="B1373" s="17"/>
      <c r="C1373" s="18"/>
      <c r="D1373" s="24"/>
      <c r="J1373" s="22"/>
      <c r="K1373" s="22"/>
      <c r="L1373" s="23"/>
      <c r="M1373" s="23"/>
      <c r="N1373" s="23"/>
      <c r="O1373" s="23"/>
    </row>
    <row r="1374">
      <c r="A1374" s="16" t="str">
        <f t="shared" si="1"/>
        <v/>
      </c>
      <c r="B1374" s="17"/>
      <c r="C1374" s="18"/>
      <c r="D1374" s="24"/>
      <c r="J1374" s="22"/>
      <c r="K1374" s="22"/>
      <c r="L1374" s="23"/>
      <c r="M1374" s="23"/>
      <c r="N1374" s="23"/>
      <c r="O1374" s="23"/>
    </row>
    <row r="1375">
      <c r="A1375" s="16" t="str">
        <f t="shared" si="1"/>
        <v/>
      </c>
      <c r="B1375" s="17"/>
      <c r="C1375" s="18"/>
      <c r="D1375" s="24"/>
      <c r="J1375" s="22"/>
      <c r="K1375" s="22"/>
      <c r="L1375" s="23"/>
      <c r="M1375" s="23"/>
      <c r="N1375" s="23"/>
      <c r="O1375" s="23"/>
    </row>
    <row r="1376">
      <c r="A1376" s="16" t="str">
        <f t="shared" si="1"/>
        <v/>
      </c>
      <c r="B1376" s="17"/>
      <c r="C1376" s="18"/>
      <c r="D1376" s="24"/>
      <c r="J1376" s="22"/>
      <c r="K1376" s="22"/>
      <c r="L1376" s="23"/>
      <c r="M1376" s="23"/>
      <c r="N1376" s="23"/>
      <c r="O1376" s="23"/>
    </row>
    <row r="1377">
      <c r="A1377" s="16" t="str">
        <f t="shared" si="1"/>
        <v/>
      </c>
      <c r="B1377" s="17"/>
      <c r="C1377" s="18"/>
      <c r="D1377" s="24"/>
      <c r="J1377" s="22"/>
      <c r="K1377" s="22"/>
      <c r="L1377" s="23"/>
      <c r="M1377" s="23"/>
      <c r="N1377" s="23"/>
      <c r="O1377" s="23"/>
    </row>
    <row r="1378">
      <c r="A1378" s="16" t="str">
        <f t="shared" si="1"/>
        <v/>
      </c>
      <c r="B1378" s="17"/>
      <c r="C1378" s="18"/>
      <c r="D1378" s="24"/>
      <c r="J1378" s="22"/>
      <c r="K1378" s="22"/>
      <c r="L1378" s="23"/>
      <c r="M1378" s="23"/>
      <c r="N1378" s="23"/>
      <c r="O1378" s="23"/>
    </row>
    <row r="1379">
      <c r="A1379" s="16" t="str">
        <f t="shared" si="1"/>
        <v/>
      </c>
      <c r="B1379" s="17"/>
      <c r="C1379" s="18"/>
      <c r="D1379" s="24"/>
      <c r="J1379" s="22"/>
      <c r="K1379" s="22"/>
      <c r="L1379" s="23"/>
      <c r="M1379" s="23"/>
      <c r="N1379" s="23"/>
      <c r="O1379" s="23"/>
    </row>
    <row r="1380">
      <c r="A1380" s="16" t="str">
        <f t="shared" si="1"/>
        <v/>
      </c>
      <c r="B1380" s="17"/>
      <c r="C1380" s="18"/>
      <c r="D1380" s="24"/>
      <c r="J1380" s="22"/>
      <c r="K1380" s="22"/>
      <c r="L1380" s="23"/>
      <c r="M1380" s="23"/>
      <c r="N1380" s="23"/>
      <c r="O1380" s="23"/>
    </row>
    <row r="1381">
      <c r="A1381" s="16" t="str">
        <f t="shared" si="1"/>
        <v/>
      </c>
      <c r="B1381" s="17"/>
      <c r="C1381" s="18"/>
      <c r="D1381" s="24"/>
      <c r="J1381" s="22"/>
      <c r="K1381" s="22"/>
      <c r="L1381" s="23"/>
      <c r="M1381" s="23"/>
      <c r="N1381" s="23"/>
      <c r="O1381" s="23"/>
    </row>
    <row r="1382">
      <c r="A1382" s="16" t="str">
        <f t="shared" si="1"/>
        <v/>
      </c>
      <c r="B1382" s="17"/>
      <c r="C1382" s="18"/>
      <c r="D1382" s="24"/>
      <c r="J1382" s="22"/>
      <c r="K1382" s="22"/>
      <c r="L1382" s="23"/>
      <c r="M1382" s="23"/>
      <c r="N1382" s="23"/>
      <c r="O1382" s="23"/>
    </row>
    <row r="1383">
      <c r="A1383" s="16" t="str">
        <f t="shared" si="1"/>
        <v/>
      </c>
      <c r="B1383" s="17"/>
      <c r="C1383" s="18"/>
      <c r="D1383" s="24"/>
      <c r="J1383" s="22"/>
      <c r="K1383" s="22"/>
      <c r="L1383" s="23"/>
      <c r="M1383" s="23"/>
      <c r="N1383" s="23"/>
      <c r="O1383" s="23"/>
    </row>
    <row r="1384">
      <c r="A1384" s="16" t="str">
        <f t="shared" si="1"/>
        <v/>
      </c>
      <c r="B1384" s="17"/>
      <c r="C1384" s="18"/>
      <c r="D1384" s="24"/>
      <c r="J1384" s="22"/>
      <c r="K1384" s="22"/>
      <c r="L1384" s="23"/>
      <c r="M1384" s="23"/>
      <c r="N1384" s="23"/>
      <c r="O1384" s="23"/>
    </row>
    <row r="1385">
      <c r="A1385" s="16" t="str">
        <f t="shared" si="1"/>
        <v/>
      </c>
      <c r="B1385" s="17"/>
      <c r="C1385" s="18"/>
      <c r="D1385" s="24"/>
      <c r="J1385" s="22"/>
      <c r="K1385" s="22"/>
      <c r="L1385" s="23"/>
      <c r="M1385" s="23"/>
      <c r="N1385" s="23"/>
      <c r="O1385" s="23"/>
    </row>
    <row r="1386">
      <c r="A1386" s="16" t="str">
        <f t="shared" si="1"/>
        <v/>
      </c>
      <c r="B1386" s="17"/>
      <c r="C1386" s="18"/>
      <c r="D1386" s="24"/>
      <c r="J1386" s="22"/>
      <c r="K1386" s="22"/>
      <c r="L1386" s="23"/>
      <c r="M1386" s="23"/>
      <c r="N1386" s="23"/>
      <c r="O1386" s="23"/>
    </row>
    <row r="1387">
      <c r="A1387" s="16" t="str">
        <f t="shared" si="1"/>
        <v/>
      </c>
      <c r="B1387" s="17"/>
      <c r="C1387" s="18"/>
      <c r="D1387" s="24"/>
      <c r="J1387" s="22"/>
      <c r="K1387" s="22"/>
      <c r="L1387" s="23"/>
      <c r="M1387" s="23"/>
      <c r="N1387" s="23"/>
      <c r="O1387" s="23"/>
    </row>
    <row r="1388">
      <c r="A1388" s="16" t="str">
        <f t="shared" si="1"/>
        <v/>
      </c>
      <c r="B1388" s="17"/>
      <c r="C1388" s="18"/>
      <c r="D1388" s="24"/>
      <c r="J1388" s="22"/>
      <c r="K1388" s="22"/>
      <c r="L1388" s="23"/>
      <c r="M1388" s="23"/>
      <c r="N1388" s="23"/>
      <c r="O1388" s="23"/>
    </row>
    <row r="1389">
      <c r="A1389" s="16" t="str">
        <f t="shared" si="1"/>
        <v/>
      </c>
      <c r="B1389" s="17"/>
      <c r="C1389" s="18"/>
      <c r="D1389" s="24"/>
      <c r="J1389" s="22"/>
      <c r="K1389" s="22"/>
      <c r="L1389" s="23"/>
      <c r="M1389" s="23"/>
      <c r="N1389" s="23"/>
      <c r="O1389" s="23"/>
    </row>
    <row r="1390">
      <c r="A1390" s="16" t="str">
        <f t="shared" si="1"/>
        <v/>
      </c>
      <c r="B1390" s="17"/>
      <c r="C1390" s="18"/>
      <c r="D1390" s="24"/>
      <c r="J1390" s="22"/>
      <c r="K1390" s="22"/>
      <c r="L1390" s="23"/>
      <c r="M1390" s="23"/>
      <c r="N1390" s="23"/>
      <c r="O1390" s="23"/>
    </row>
    <row r="1391">
      <c r="A1391" s="16" t="str">
        <f t="shared" si="1"/>
        <v/>
      </c>
      <c r="B1391" s="17"/>
      <c r="C1391" s="18"/>
      <c r="D1391" s="24"/>
      <c r="J1391" s="22"/>
      <c r="K1391" s="22"/>
      <c r="L1391" s="23"/>
      <c r="M1391" s="23"/>
      <c r="N1391" s="23"/>
      <c r="O1391" s="23"/>
    </row>
    <row r="1392">
      <c r="A1392" s="16" t="str">
        <f t="shared" si="1"/>
        <v/>
      </c>
      <c r="B1392" s="17"/>
      <c r="C1392" s="18"/>
      <c r="D1392" s="24"/>
      <c r="J1392" s="22"/>
      <c r="K1392" s="22"/>
      <c r="L1392" s="23"/>
      <c r="M1392" s="23"/>
      <c r="N1392" s="23"/>
      <c r="O1392" s="23"/>
    </row>
    <row r="1393">
      <c r="A1393" s="16" t="str">
        <f t="shared" si="1"/>
        <v/>
      </c>
      <c r="B1393" s="17"/>
      <c r="C1393" s="18"/>
      <c r="D1393" s="24"/>
      <c r="J1393" s="22"/>
      <c r="K1393" s="22"/>
      <c r="L1393" s="23"/>
      <c r="M1393" s="23"/>
      <c r="N1393" s="23"/>
      <c r="O1393" s="23"/>
    </row>
    <row r="1394">
      <c r="A1394" s="16" t="str">
        <f t="shared" si="1"/>
        <v/>
      </c>
      <c r="B1394" s="17"/>
      <c r="C1394" s="18"/>
      <c r="D1394" s="24"/>
      <c r="J1394" s="22"/>
      <c r="K1394" s="22"/>
      <c r="L1394" s="23"/>
      <c r="M1394" s="23"/>
      <c r="N1394" s="23"/>
      <c r="O1394" s="23"/>
    </row>
    <row r="1395">
      <c r="A1395" s="16" t="str">
        <f t="shared" si="1"/>
        <v/>
      </c>
      <c r="B1395" s="17"/>
      <c r="C1395" s="18"/>
      <c r="D1395" s="24"/>
      <c r="J1395" s="22"/>
      <c r="K1395" s="22"/>
      <c r="L1395" s="23"/>
      <c r="M1395" s="23"/>
      <c r="N1395" s="23"/>
      <c r="O1395" s="23"/>
    </row>
    <row r="1396">
      <c r="A1396" s="16" t="str">
        <f t="shared" si="1"/>
        <v/>
      </c>
      <c r="B1396" s="17"/>
      <c r="C1396" s="18"/>
      <c r="D1396" s="24"/>
      <c r="J1396" s="22"/>
      <c r="K1396" s="22"/>
      <c r="L1396" s="23"/>
      <c r="M1396" s="23"/>
      <c r="N1396" s="23"/>
      <c r="O1396" s="23"/>
    </row>
    <row r="1397">
      <c r="A1397" s="16" t="str">
        <f t="shared" si="1"/>
        <v/>
      </c>
      <c r="B1397" s="17"/>
      <c r="C1397" s="18"/>
      <c r="D1397" s="24"/>
      <c r="J1397" s="22"/>
      <c r="K1397" s="22"/>
      <c r="L1397" s="23"/>
      <c r="M1397" s="23"/>
      <c r="N1397" s="23"/>
      <c r="O1397" s="23"/>
    </row>
    <row r="1398">
      <c r="A1398" s="16" t="str">
        <f t="shared" si="1"/>
        <v/>
      </c>
      <c r="B1398" s="17"/>
      <c r="C1398" s="18"/>
      <c r="D1398" s="24"/>
      <c r="J1398" s="22"/>
      <c r="K1398" s="22"/>
      <c r="L1398" s="23"/>
      <c r="M1398" s="23"/>
      <c r="N1398" s="23"/>
      <c r="O1398" s="23"/>
    </row>
    <row r="1399">
      <c r="A1399" s="16" t="str">
        <f t="shared" si="1"/>
        <v/>
      </c>
      <c r="B1399" s="17"/>
      <c r="C1399" s="18"/>
      <c r="D1399" s="24"/>
      <c r="J1399" s="22"/>
      <c r="K1399" s="22"/>
      <c r="L1399" s="23"/>
      <c r="M1399" s="23"/>
      <c r="N1399" s="23"/>
      <c r="O1399" s="23"/>
    </row>
    <row r="1400">
      <c r="A1400" s="16" t="str">
        <f t="shared" si="1"/>
        <v/>
      </c>
      <c r="B1400" s="17"/>
      <c r="C1400" s="18"/>
      <c r="D1400" s="24"/>
      <c r="J1400" s="22"/>
      <c r="K1400" s="22"/>
      <c r="L1400" s="23"/>
      <c r="M1400" s="23"/>
      <c r="N1400" s="23"/>
      <c r="O1400" s="23"/>
    </row>
    <row r="1401">
      <c r="A1401" s="16" t="str">
        <f t="shared" si="1"/>
        <v/>
      </c>
      <c r="B1401" s="17"/>
      <c r="C1401" s="18"/>
      <c r="D1401" s="24"/>
      <c r="J1401" s="22"/>
      <c r="K1401" s="22"/>
      <c r="L1401" s="23"/>
      <c r="M1401" s="23"/>
      <c r="N1401" s="23"/>
      <c r="O1401" s="23"/>
    </row>
    <row r="1402">
      <c r="A1402" s="16" t="str">
        <f t="shared" si="1"/>
        <v/>
      </c>
      <c r="B1402" s="17"/>
      <c r="C1402" s="18"/>
      <c r="D1402" s="24"/>
      <c r="J1402" s="22"/>
      <c r="K1402" s="22"/>
      <c r="L1402" s="23"/>
      <c r="M1402" s="23"/>
      <c r="N1402" s="23"/>
      <c r="O1402" s="23"/>
    </row>
    <row r="1403">
      <c r="A1403" s="16" t="str">
        <f t="shared" si="1"/>
        <v/>
      </c>
      <c r="B1403" s="17"/>
      <c r="C1403" s="18"/>
      <c r="D1403" s="24"/>
      <c r="J1403" s="22"/>
      <c r="K1403" s="22"/>
      <c r="L1403" s="23"/>
      <c r="M1403" s="23"/>
      <c r="N1403" s="23"/>
      <c r="O1403" s="23"/>
    </row>
    <row r="1404">
      <c r="A1404" s="16" t="str">
        <f t="shared" si="1"/>
        <v/>
      </c>
      <c r="B1404" s="17"/>
      <c r="C1404" s="18"/>
      <c r="D1404" s="24"/>
      <c r="J1404" s="22"/>
      <c r="K1404" s="22"/>
      <c r="L1404" s="23"/>
      <c r="M1404" s="23"/>
      <c r="N1404" s="23"/>
      <c r="O1404" s="23"/>
    </row>
    <row r="1405">
      <c r="A1405" s="16" t="str">
        <f t="shared" si="1"/>
        <v/>
      </c>
      <c r="B1405" s="17"/>
      <c r="C1405" s="18"/>
      <c r="D1405" s="24"/>
      <c r="J1405" s="22"/>
      <c r="K1405" s="22"/>
      <c r="L1405" s="23"/>
      <c r="M1405" s="23"/>
      <c r="N1405" s="23"/>
      <c r="O1405" s="23"/>
    </row>
    <row r="1406">
      <c r="A1406" s="16" t="str">
        <f t="shared" si="1"/>
        <v/>
      </c>
      <c r="B1406" s="17"/>
      <c r="C1406" s="18"/>
      <c r="D1406" s="24"/>
      <c r="J1406" s="22"/>
      <c r="K1406" s="22"/>
      <c r="L1406" s="23"/>
      <c r="M1406" s="23"/>
      <c r="N1406" s="23"/>
      <c r="O1406" s="23"/>
    </row>
    <row r="1407">
      <c r="A1407" s="16" t="str">
        <f t="shared" si="1"/>
        <v/>
      </c>
      <c r="B1407" s="17"/>
      <c r="C1407" s="18"/>
      <c r="D1407" s="24"/>
      <c r="J1407" s="22"/>
      <c r="K1407" s="22"/>
      <c r="L1407" s="23"/>
      <c r="M1407" s="23"/>
      <c r="N1407" s="23"/>
      <c r="O1407" s="23"/>
    </row>
    <row r="1408">
      <c r="A1408" s="16" t="str">
        <f t="shared" si="1"/>
        <v/>
      </c>
      <c r="B1408" s="17"/>
      <c r="C1408" s="18"/>
      <c r="D1408" s="24"/>
      <c r="J1408" s="22"/>
      <c r="K1408" s="22"/>
      <c r="L1408" s="23"/>
      <c r="M1408" s="23"/>
      <c r="N1408" s="23"/>
      <c r="O1408" s="23"/>
    </row>
    <row r="1409">
      <c r="A1409" s="16" t="str">
        <f t="shared" si="1"/>
        <v/>
      </c>
      <c r="B1409" s="17"/>
      <c r="C1409" s="18"/>
      <c r="D1409" s="24"/>
      <c r="J1409" s="22"/>
      <c r="K1409" s="22"/>
      <c r="L1409" s="23"/>
      <c r="M1409" s="23"/>
      <c r="N1409" s="23"/>
      <c r="O1409" s="23"/>
    </row>
    <row r="1410">
      <c r="A1410" s="16" t="str">
        <f t="shared" si="1"/>
        <v/>
      </c>
      <c r="B1410" s="17"/>
      <c r="C1410" s="18"/>
      <c r="D1410" s="24"/>
      <c r="J1410" s="22"/>
      <c r="K1410" s="22"/>
      <c r="L1410" s="23"/>
      <c r="M1410" s="23"/>
      <c r="N1410" s="23"/>
      <c r="O1410" s="23"/>
    </row>
    <row r="1411">
      <c r="A1411" s="16" t="str">
        <f t="shared" si="1"/>
        <v/>
      </c>
      <c r="B1411" s="17"/>
      <c r="C1411" s="18"/>
      <c r="D1411" s="24"/>
      <c r="J1411" s="22"/>
      <c r="K1411" s="22"/>
      <c r="L1411" s="23"/>
      <c r="M1411" s="23"/>
      <c r="N1411" s="23"/>
      <c r="O1411" s="23"/>
    </row>
    <row r="1412">
      <c r="A1412" s="16" t="str">
        <f t="shared" si="1"/>
        <v/>
      </c>
      <c r="B1412" s="17"/>
      <c r="C1412" s="18"/>
      <c r="D1412" s="24"/>
      <c r="J1412" s="22"/>
      <c r="K1412" s="22"/>
      <c r="L1412" s="23"/>
      <c r="M1412" s="23"/>
      <c r="N1412" s="23"/>
      <c r="O1412" s="23"/>
    </row>
    <row r="1413">
      <c r="A1413" s="16" t="str">
        <f t="shared" si="1"/>
        <v/>
      </c>
      <c r="B1413" s="17"/>
      <c r="C1413" s="18"/>
      <c r="D1413" s="24"/>
      <c r="J1413" s="22"/>
      <c r="K1413" s="22"/>
      <c r="L1413" s="23"/>
      <c r="M1413" s="23"/>
      <c r="N1413" s="23"/>
      <c r="O1413" s="23"/>
    </row>
    <row r="1414">
      <c r="A1414" s="16" t="str">
        <f t="shared" si="1"/>
        <v/>
      </c>
      <c r="B1414" s="17"/>
      <c r="C1414" s="18"/>
      <c r="D1414" s="24"/>
      <c r="J1414" s="22"/>
      <c r="K1414" s="22"/>
      <c r="L1414" s="23"/>
      <c r="M1414" s="23"/>
      <c r="N1414" s="23"/>
      <c r="O1414" s="23"/>
    </row>
    <row r="1415">
      <c r="A1415" s="16" t="str">
        <f t="shared" si="1"/>
        <v/>
      </c>
      <c r="B1415" s="17"/>
      <c r="C1415" s="18"/>
      <c r="D1415" s="24"/>
      <c r="J1415" s="22"/>
      <c r="K1415" s="22"/>
      <c r="L1415" s="23"/>
      <c r="M1415" s="23"/>
      <c r="N1415" s="23"/>
      <c r="O1415" s="23"/>
    </row>
    <row r="1416">
      <c r="A1416" s="16" t="str">
        <f t="shared" si="1"/>
        <v/>
      </c>
      <c r="B1416" s="17"/>
      <c r="C1416" s="18"/>
      <c r="D1416" s="24"/>
      <c r="J1416" s="22"/>
      <c r="K1416" s="22"/>
      <c r="L1416" s="23"/>
      <c r="M1416" s="23"/>
      <c r="N1416" s="23"/>
      <c r="O1416" s="23"/>
    </row>
    <row r="1417">
      <c r="A1417" s="16" t="str">
        <f t="shared" si="1"/>
        <v/>
      </c>
      <c r="B1417" s="17"/>
      <c r="C1417" s="18"/>
      <c r="D1417" s="24"/>
      <c r="J1417" s="22"/>
      <c r="K1417" s="22"/>
      <c r="L1417" s="23"/>
      <c r="M1417" s="23"/>
      <c r="N1417" s="23"/>
      <c r="O1417" s="23"/>
    </row>
    <row r="1418">
      <c r="A1418" s="16" t="str">
        <f t="shared" si="1"/>
        <v/>
      </c>
      <c r="B1418" s="17"/>
      <c r="C1418" s="18"/>
      <c r="D1418" s="24"/>
      <c r="J1418" s="22"/>
      <c r="K1418" s="22"/>
      <c r="L1418" s="23"/>
      <c r="M1418" s="23"/>
      <c r="N1418" s="23"/>
      <c r="O1418" s="23"/>
    </row>
    <row r="1419">
      <c r="A1419" s="16" t="str">
        <f t="shared" si="1"/>
        <v/>
      </c>
      <c r="B1419" s="17"/>
      <c r="C1419" s="18"/>
      <c r="D1419" s="24"/>
      <c r="J1419" s="22"/>
      <c r="K1419" s="22"/>
      <c r="L1419" s="23"/>
      <c r="M1419" s="23"/>
      <c r="N1419" s="23"/>
      <c r="O1419" s="23"/>
    </row>
    <row r="1420">
      <c r="A1420" s="16" t="str">
        <f t="shared" si="1"/>
        <v/>
      </c>
      <c r="B1420" s="17"/>
      <c r="C1420" s="18"/>
      <c r="D1420" s="24"/>
      <c r="J1420" s="22"/>
      <c r="K1420" s="22"/>
      <c r="L1420" s="23"/>
      <c r="M1420" s="23"/>
      <c r="N1420" s="23"/>
      <c r="O1420" s="23"/>
    </row>
    <row r="1421">
      <c r="A1421" s="16" t="str">
        <f t="shared" si="1"/>
        <v/>
      </c>
      <c r="B1421" s="17"/>
      <c r="C1421" s="18"/>
      <c r="D1421" s="24"/>
      <c r="J1421" s="22"/>
      <c r="K1421" s="22"/>
      <c r="L1421" s="23"/>
      <c r="M1421" s="23"/>
      <c r="N1421" s="23"/>
      <c r="O1421" s="23"/>
    </row>
    <row r="1422">
      <c r="A1422" s="16" t="str">
        <f t="shared" si="1"/>
        <v/>
      </c>
      <c r="B1422" s="17"/>
      <c r="C1422" s="18"/>
      <c r="D1422" s="24"/>
      <c r="J1422" s="22"/>
      <c r="K1422" s="22"/>
      <c r="L1422" s="23"/>
      <c r="M1422" s="23"/>
      <c r="N1422" s="23"/>
      <c r="O1422" s="23"/>
    </row>
    <row r="1423">
      <c r="A1423" s="16" t="str">
        <f t="shared" si="1"/>
        <v/>
      </c>
      <c r="B1423" s="17"/>
      <c r="C1423" s="18"/>
      <c r="D1423" s="24"/>
      <c r="J1423" s="22"/>
      <c r="K1423" s="22"/>
      <c r="L1423" s="23"/>
      <c r="M1423" s="23"/>
      <c r="N1423" s="23"/>
      <c r="O1423" s="23"/>
    </row>
    <row r="1424">
      <c r="A1424" s="16" t="str">
        <f t="shared" si="1"/>
        <v/>
      </c>
      <c r="B1424" s="17"/>
      <c r="C1424" s="18"/>
      <c r="D1424" s="24"/>
      <c r="J1424" s="22"/>
      <c r="K1424" s="22"/>
      <c r="L1424" s="23"/>
      <c r="M1424" s="23"/>
      <c r="N1424" s="23"/>
      <c r="O1424" s="23"/>
    </row>
    <row r="1425">
      <c r="A1425" s="16" t="str">
        <f t="shared" si="1"/>
        <v/>
      </c>
      <c r="B1425" s="17"/>
      <c r="C1425" s="18"/>
      <c r="D1425" s="24"/>
      <c r="J1425" s="22"/>
      <c r="K1425" s="22"/>
      <c r="L1425" s="23"/>
      <c r="M1425" s="23"/>
      <c r="N1425" s="23"/>
      <c r="O1425" s="23"/>
    </row>
    <row r="1426">
      <c r="A1426" s="16" t="str">
        <f t="shared" si="1"/>
        <v/>
      </c>
      <c r="B1426" s="17"/>
      <c r="C1426" s="18"/>
      <c r="D1426" s="24"/>
      <c r="J1426" s="22"/>
      <c r="K1426" s="22"/>
      <c r="L1426" s="23"/>
      <c r="M1426" s="23"/>
      <c r="N1426" s="23"/>
      <c r="O1426" s="23"/>
    </row>
    <row r="1427">
      <c r="A1427" s="16" t="str">
        <f t="shared" si="1"/>
        <v/>
      </c>
      <c r="B1427" s="17"/>
      <c r="C1427" s="18"/>
      <c r="D1427" s="24"/>
      <c r="J1427" s="22"/>
      <c r="K1427" s="22"/>
      <c r="L1427" s="23"/>
      <c r="M1427" s="23"/>
      <c r="N1427" s="23"/>
      <c r="O1427" s="23"/>
    </row>
    <row r="1428">
      <c r="A1428" s="16" t="str">
        <f t="shared" si="1"/>
        <v/>
      </c>
      <c r="B1428" s="17"/>
      <c r="C1428" s="18"/>
      <c r="D1428" s="24"/>
      <c r="J1428" s="22"/>
      <c r="K1428" s="22"/>
      <c r="L1428" s="23"/>
      <c r="M1428" s="23"/>
      <c r="N1428" s="23"/>
      <c r="O1428" s="23"/>
    </row>
    <row r="1429">
      <c r="A1429" s="16" t="str">
        <f t="shared" si="1"/>
        <v/>
      </c>
      <c r="B1429" s="17"/>
      <c r="C1429" s="18"/>
      <c r="D1429" s="24"/>
      <c r="J1429" s="22"/>
      <c r="K1429" s="22"/>
      <c r="L1429" s="23"/>
      <c r="M1429" s="23"/>
      <c r="N1429" s="23"/>
      <c r="O1429" s="23"/>
    </row>
    <row r="1430">
      <c r="A1430" s="16" t="str">
        <f t="shared" si="1"/>
        <v/>
      </c>
      <c r="B1430" s="17"/>
      <c r="C1430" s="18"/>
      <c r="D1430" s="24"/>
      <c r="J1430" s="22"/>
      <c r="K1430" s="22"/>
      <c r="L1430" s="23"/>
      <c r="M1430" s="23"/>
      <c r="N1430" s="23"/>
      <c r="O1430" s="23"/>
    </row>
    <row r="1431">
      <c r="A1431" s="16" t="str">
        <f t="shared" si="1"/>
        <v/>
      </c>
      <c r="B1431" s="17"/>
      <c r="C1431" s="18"/>
      <c r="D1431" s="24"/>
      <c r="J1431" s="22"/>
      <c r="K1431" s="22"/>
      <c r="L1431" s="23"/>
      <c r="M1431" s="23"/>
      <c r="N1431" s="23"/>
      <c r="O1431" s="23"/>
    </row>
    <row r="1432">
      <c r="A1432" s="16" t="str">
        <f t="shared" si="1"/>
        <v/>
      </c>
      <c r="B1432" s="17"/>
      <c r="C1432" s="18"/>
      <c r="D1432" s="24"/>
      <c r="J1432" s="22"/>
      <c r="K1432" s="22"/>
      <c r="L1432" s="23"/>
      <c r="M1432" s="23"/>
      <c r="N1432" s="23"/>
      <c r="O1432" s="23"/>
    </row>
    <row r="1433">
      <c r="A1433" s="16" t="str">
        <f t="shared" si="1"/>
        <v/>
      </c>
      <c r="B1433" s="17"/>
      <c r="C1433" s="18"/>
      <c r="D1433" s="24"/>
      <c r="J1433" s="22"/>
      <c r="K1433" s="22"/>
      <c r="L1433" s="23"/>
      <c r="M1433" s="23"/>
      <c r="N1433" s="23"/>
      <c r="O1433" s="23"/>
    </row>
    <row r="1434">
      <c r="A1434" s="16" t="str">
        <f t="shared" si="1"/>
        <v/>
      </c>
      <c r="B1434" s="17"/>
      <c r="C1434" s="18"/>
      <c r="D1434" s="24"/>
      <c r="J1434" s="22"/>
      <c r="K1434" s="22"/>
      <c r="L1434" s="23"/>
      <c r="M1434" s="23"/>
      <c r="N1434" s="23"/>
      <c r="O1434" s="23"/>
    </row>
    <row r="1435">
      <c r="A1435" s="16" t="str">
        <f t="shared" si="1"/>
        <v/>
      </c>
      <c r="B1435" s="17"/>
      <c r="C1435" s="18"/>
      <c r="D1435" s="24"/>
      <c r="J1435" s="22"/>
      <c r="K1435" s="22"/>
      <c r="L1435" s="23"/>
      <c r="M1435" s="23"/>
      <c r="N1435" s="23"/>
      <c r="O1435" s="23"/>
    </row>
    <row r="1436">
      <c r="A1436" s="16" t="str">
        <f t="shared" si="1"/>
        <v/>
      </c>
      <c r="B1436" s="17"/>
      <c r="C1436" s="18"/>
      <c r="D1436" s="24"/>
      <c r="J1436" s="22"/>
      <c r="K1436" s="22"/>
      <c r="L1436" s="23"/>
      <c r="M1436" s="23"/>
      <c r="N1436" s="23"/>
      <c r="O1436" s="23"/>
    </row>
    <row r="1437">
      <c r="A1437" s="16" t="str">
        <f t="shared" si="1"/>
        <v/>
      </c>
      <c r="B1437" s="17"/>
      <c r="C1437" s="18"/>
      <c r="D1437" s="24"/>
      <c r="J1437" s="22"/>
      <c r="K1437" s="22"/>
      <c r="L1437" s="23"/>
      <c r="M1437" s="23"/>
      <c r="N1437" s="23"/>
      <c r="O1437" s="23"/>
    </row>
    <row r="1438">
      <c r="A1438" s="16" t="str">
        <f t="shared" si="1"/>
        <v/>
      </c>
      <c r="B1438" s="17"/>
      <c r="C1438" s="18"/>
      <c r="D1438" s="24"/>
      <c r="J1438" s="22"/>
      <c r="K1438" s="22"/>
      <c r="L1438" s="23"/>
      <c r="M1438" s="23"/>
      <c r="N1438" s="23"/>
      <c r="O1438" s="23"/>
    </row>
    <row r="1439">
      <c r="A1439" s="16" t="str">
        <f t="shared" si="1"/>
        <v/>
      </c>
      <c r="B1439" s="17"/>
      <c r="C1439" s="18"/>
      <c r="D1439" s="24"/>
      <c r="J1439" s="22"/>
      <c r="K1439" s="22"/>
      <c r="L1439" s="23"/>
      <c r="M1439" s="23"/>
      <c r="N1439" s="23"/>
      <c r="O1439" s="23"/>
    </row>
    <row r="1440">
      <c r="A1440" s="16" t="str">
        <f t="shared" si="1"/>
        <v/>
      </c>
      <c r="B1440" s="17"/>
      <c r="C1440" s="18"/>
      <c r="D1440" s="24"/>
      <c r="J1440" s="22"/>
      <c r="K1440" s="22"/>
      <c r="L1440" s="23"/>
      <c r="M1440" s="23"/>
      <c r="N1440" s="23"/>
      <c r="O1440" s="23"/>
    </row>
    <row r="1441">
      <c r="A1441" s="16" t="str">
        <f t="shared" si="1"/>
        <v/>
      </c>
      <c r="B1441" s="17"/>
      <c r="C1441" s="18"/>
      <c r="D1441" s="24"/>
      <c r="J1441" s="22"/>
      <c r="K1441" s="22"/>
      <c r="L1441" s="23"/>
      <c r="M1441" s="23"/>
      <c r="N1441" s="23"/>
      <c r="O1441" s="23"/>
    </row>
    <row r="1442">
      <c r="A1442" s="16" t="str">
        <f t="shared" si="1"/>
        <v/>
      </c>
      <c r="B1442" s="17"/>
      <c r="C1442" s="18"/>
      <c r="D1442" s="24"/>
      <c r="J1442" s="22"/>
      <c r="K1442" s="22"/>
      <c r="L1442" s="23"/>
      <c r="M1442" s="23"/>
      <c r="N1442" s="23"/>
      <c r="O1442" s="23"/>
    </row>
    <row r="1443">
      <c r="A1443" s="16" t="str">
        <f t="shared" si="1"/>
        <v/>
      </c>
      <c r="B1443" s="17"/>
      <c r="C1443" s="18"/>
      <c r="D1443" s="24"/>
      <c r="J1443" s="22"/>
      <c r="K1443" s="22"/>
      <c r="L1443" s="23"/>
      <c r="M1443" s="23"/>
      <c r="N1443" s="23"/>
      <c r="O1443" s="23"/>
    </row>
    <row r="1444">
      <c r="A1444" s="16" t="str">
        <f t="shared" si="1"/>
        <v/>
      </c>
      <c r="B1444" s="17"/>
      <c r="C1444" s="18"/>
      <c r="D1444" s="24"/>
      <c r="J1444" s="22"/>
      <c r="K1444" s="22"/>
      <c r="L1444" s="23"/>
      <c r="M1444" s="23"/>
      <c r="N1444" s="23"/>
      <c r="O1444" s="23"/>
    </row>
    <row r="1445">
      <c r="A1445" s="16" t="str">
        <f t="shared" si="1"/>
        <v/>
      </c>
      <c r="B1445" s="17"/>
      <c r="C1445" s="18"/>
      <c r="D1445" s="24"/>
      <c r="J1445" s="22"/>
      <c r="K1445" s="22"/>
      <c r="L1445" s="23"/>
      <c r="M1445" s="23"/>
      <c r="N1445" s="23"/>
      <c r="O1445" s="23"/>
    </row>
    <row r="1446">
      <c r="A1446" s="16" t="str">
        <f t="shared" si="1"/>
        <v/>
      </c>
      <c r="B1446" s="17"/>
      <c r="C1446" s="18"/>
      <c r="D1446" s="24"/>
      <c r="J1446" s="22"/>
      <c r="K1446" s="22"/>
      <c r="L1446" s="23"/>
      <c r="M1446" s="23"/>
      <c r="N1446" s="23"/>
      <c r="O1446" s="23"/>
    </row>
    <row r="1447">
      <c r="A1447" s="16" t="str">
        <f t="shared" si="1"/>
        <v/>
      </c>
      <c r="B1447" s="17"/>
      <c r="C1447" s="18"/>
      <c r="D1447" s="24"/>
      <c r="J1447" s="22"/>
      <c r="K1447" s="22"/>
      <c r="L1447" s="23"/>
      <c r="M1447" s="23"/>
      <c r="N1447" s="23"/>
      <c r="O1447" s="23"/>
    </row>
    <row r="1448">
      <c r="A1448" s="16" t="str">
        <f t="shared" si="1"/>
        <v/>
      </c>
      <c r="B1448" s="17"/>
      <c r="C1448" s="18"/>
      <c r="D1448" s="24"/>
      <c r="J1448" s="22"/>
      <c r="K1448" s="22"/>
      <c r="L1448" s="23"/>
      <c r="M1448" s="23"/>
      <c r="N1448" s="23"/>
      <c r="O1448" s="23"/>
    </row>
    <row r="1449">
      <c r="A1449" s="16" t="str">
        <f t="shared" si="1"/>
        <v/>
      </c>
      <c r="B1449" s="17"/>
      <c r="C1449" s="18"/>
      <c r="D1449" s="24"/>
      <c r="J1449" s="22"/>
      <c r="K1449" s="22"/>
      <c r="L1449" s="23"/>
      <c r="M1449" s="23"/>
      <c r="N1449" s="23"/>
      <c r="O1449" s="23"/>
    </row>
    <row r="1450">
      <c r="A1450" s="16" t="str">
        <f t="shared" si="1"/>
        <v/>
      </c>
      <c r="B1450" s="17"/>
      <c r="C1450" s="18"/>
      <c r="D1450" s="24"/>
      <c r="J1450" s="22"/>
      <c r="K1450" s="22"/>
      <c r="L1450" s="23"/>
      <c r="M1450" s="23"/>
      <c r="N1450" s="23"/>
      <c r="O1450" s="23"/>
    </row>
    <row r="1451">
      <c r="A1451" s="16" t="str">
        <f t="shared" si="1"/>
        <v/>
      </c>
      <c r="B1451" s="17"/>
      <c r="C1451" s="18"/>
      <c r="D1451" s="24"/>
      <c r="J1451" s="22"/>
      <c r="K1451" s="22"/>
      <c r="L1451" s="23"/>
      <c r="M1451" s="23"/>
      <c r="N1451" s="23"/>
      <c r="O1451" s="23"/>
    </row>
    <row r="1452">
      <c r="A1452" s="16" t="str">
        <f t="shared" si="1"/>
        <v/>
      </c>
      <c r="B1452" s="17"/>
      <c r="C1452" s="18"/>
      <c r="D1452" s="24"/>
      <c r="J1452" s="22"/>
      <c r="K1452" s="22"/>
      <c r="L1452" s="23"/>
      <c r="M1452" s="23"/>
      <c r="N1452" s="23"/>
      <c r="O1452" s="23"/>
    </row>
    <row r="1453">
      <c r="A1453" s="16" t="str">
        <f t="shared" si="1"/>
        <v/>
      </c>
      <c r="B1453" s="17"/>
      <c r="C1453" s="18"/>
      <c r="D1453" s="24"/>
      <c r="J1453" s="22"/>
      <c r="K1453" s="22"/>
      <c r="L1453" s="23"/>
      <c r="M1453" s="23"/>
      <c r="N1453" s="23"/>
      <c r="O1453" s="23"/>
    </row>
    <row r="1454">
      <c r="A1454" s="16" t="str">
        <f t="shared" si="1"/>
        <v/>
      </c>
      <c r="B1454" s="17"/>
      <c r="C1454" s="18"/>
      <c r="D1454" s="24"/>
      <c r="J1454" s="22"/>
      <c r="K1454" s="22"/>
      <c r="L1454" s="23"/>
      <c r="M1454" s="23"/>
      <c r="N1454" s="23"/>
      <c r="O1454" s="23"/>
    </row>
    <row r="1455">
      <c r="A1455" s="16" t="str">
        <f t="shared" si="1"/>
        <v/>
      </c>
      <c r="B1455" s="17"/>
      <c r="C1455" s="18"/>
      <c r="D1455" s="24"/>
      <c r="J1455" s="22"/>
      <c r="K1455" s="22"/>
      <c r="L1455" s="23"/>
      <c r="M1455" s="23"/>
      <c r="N1455" s="23"/>
      <c r="O1455" s="23"/>
    </row>
    <row r="1456">
      <c r="A1456" s="16" t="str">
        <f t="shared" si="1"/>
        <v/>
      </c>
      <c r="B1456" s="17"/>
      <c r="C1456" s="18"/>
      <c r="D1456" s="24"/>
      <c r="J1456" s="22"/>
      <c r="K1456" s="22"/>
      <c r="L1456" s="23"/>
      <c r="M1456" s="23"/>
      <c r="N1456" s="23"/>
      <c r="O1456" s="23"/>
    </row>
    <row r="1457">
      <c r="A1457" s="16" t="str">
        <f t="shared" si="1"/>
        <v/>
      </c>
      <c r="B1457" s="17"/>
      <c r="C1457" s="18"/>
      <c r="D1457" s="24"/>
      <c r="J1457" s="22"/>
      <c r="K1457" s="22"/>
      <c r="L1457" s="23"/>
      <c r="M1457" s="23"/>
      <c r="N1457" s="23"/>
      <c r="O1457" s="23"/>
    </row>
    <row r="1458">
      <c r="A1458" s="16" t="str">
        <f t="shared" si="1"/>
        <v/>
      </c>
      <c r="B1458" s="17"/>
      <c r="C1458" s="18"/>
      <c r="D1458" s="24"/>
      <c r="J1458" s="22"/>
      <c r="K1458" s="22"/>
      <c r="L1458" s="23"/>
      <c r="M1458" s="23"/>
      <c r="N1458" s="23"/>
      <c r="O1458" s="23"/>
    </row>
    <row r="1459">
      <c r="A1459" s="16" t="str">
        <f t="shared" si="1"/>
        <v/>
      </c>
      <c r="B1459" s="17"/>
      <c r="C1459" s="18"/>
      <c r="D1459" s="24"/>
      <c r="J1459" s="22"/>
      <c r="K1459" s="22"/>
      <c r="L1459" s="23"/>
      <c r="M1459" s="23"/>
      <c r="N1459" s="23"/>
      <c r="O1459" s="23"/>
    </row>
    <row r="1460">
      <c r="A1460" s="16" t="str">
        <f t="shared" si="1"/>
        <v/>
      </c>
      <c r="B1460" s="17"/>
      <c r="C1460" s="18"/>
      <c r="D1460" s="24"/>
      <c r="J1460" s="22"/>
      <c r="K1460" s="22"/>
      <c r="L1460" s="23"/>
      <c r="M1460" s="23"/>
      <c r="N1460" s="23"/>
      <c r="O1460" s="23"/>
    </row>
    <row r="1461">
      <c r="A1461" s="16" t="str">
        <f t="shared" si="1"/>
        <v/>
      </c>
      <c r="B1461" s="17"/>
      <c r="C1461" s="18"/>
      <c r="D1461" s="24"/>
      <c r="J1461" s="22"/>
      <c r="K1461" s="22"/>
      <c r="L1461" s="23"/>
      <c r="M1461" s="23"/>
      <c r="N1461" s="23"/>
      <c r="O1461" s="23"/>
    </row>
    <row r="1462">
      <c r="A1462" s="16" t="str">
        <f t="shared" si="1"/>
        <v/>
      </c>
      <c r="B1462" s="17"/>
      <c r="C1462" s="18"/>
      <c r="D1462" s="24"/>
      <c r="J1462" s="22"/>
      <c r="K1462" s="22"/>
      <c r="L1462" s="23"/>
      <c r="M1462" s="23"/>
      <c r="N1462" s="23"/>
      <c r="O1462" s="23"/>
    </row>
    <row r="1463">
      <c r="A1463" s="16" t="str">
        <f t="shared" si="1"/>
        <v/>
      </c>
      <c r="B1463" s="17"/>
      <c r="C1463" s="18"/>
      <c r="D1463" s="24"/>
      <c r="J1463" s="22"/>
      <c r="K1463" s="22"/>
      <c r="L1463" s="23"/>
      <c r="M1463" s="23"/>
      <c r="N1463" s="23"/>
      <c r="O1463" s="23"/>
    </row>
    <row r="1464">
      <c r="A1464" s="16" t="str">
        <f t="shared" si="1"/>
        <v/>
      </c>
      <c r="B1464" s="17"/>
      <c r="C1464" s="18"/>
      <c r="D1464" s="24"/>
      <c r="J1464" s="22"/>
      <c r="K1464" s="22"/>
      <c r="L1464" s="23"/>
      <c r="M1464" s="23"/>
      <c r="N1464" s="23"/>
      <c r="O1464" s="23"/>
    </row>
    <row r="1465">
      <c r="A1465" s="16" t="str">
        <f t="shared" si="1"/>
        <v/>
      </c>
      <c r="B1465" s="17"/>
      <c r="C1465" s="18"/>
      <c r="D1465" s="24"/>
      <c r="J1465" s="22"/>
      <c r="K1465" s="22"/>
      <c r="L1465" s="23"/>
      <c r="M1465" s="23"/>
      <c r="N1465" s="23"/>
      <c r="O1465" s="23"/>
    </row>
    <row r="1466">
      <c r="A1466" s="16" t="str">
        <f t="shared" si="1"/>
        <v/>
      </c>
      <c r="B1466" s="17"/>
      <c r="C1466" s="18"/>
      <c r="D1466" s="24"/>
      <c r="J1466" s="22"/>
      <c r="K1466" s="22"/>
      <c r="L1466" s="23"/>
      <c r="M1466" s="23"/>
      <c r="N1466" s="23"/>
      <c r="O1466" s="23"/>
    </row>
    <row r="1467">
      <c r="A1467" s="16" t="str">
        <f t="shared" si="1"/>
        <v/>
      </c>
      <c r="B1467" s="17"/>
      <c r="C1467" s="18"/>
      <c r="D1467" s="24"/>
      <c r="J1467" s="22"/>
      <c r="K1467" s="22"/>
      <c r="L1467" s="23"/>
      <c r="M1467" s="23"/>
      <c r="N1467" s="23"/>
      <c r="O1467" s="23"/>
    </row>
    <row r="1468">
      <c r="A1468" s="16" t="str">
        <f t="shared" si="1"/>
        <v/>
      </c>
      <c r="B1468" s="17"/>
      <c r="C1468" s="18"/>
      <c r="D1468" s="24"/>
      <c r="J1468" s="22"/>
      <c r="K1468" s="22"/>
      <c r="L1468" s="23"/>
      <c r="M1468" s="23"/>
      <c r="N1468" s="23"/>
      <c r="O1468" s="23"/>
    </row>
    <row r="1469">
      <c r="A1469" s="16" t="str">
        <f t="shared" si="1"/>
        <v/>
      </c>
      <c r="B1469" s="17"/>
      <c r="C1469" s="18"/>
      <c r="D1469" s="24"/>
      <c r="J1469" s="22"/>
      <c r="K1469" s="22"/>
      <c r="L1469" s="23"/>
      <c r="M1469" s="23"/>
      <c r="N1469" s="23"/>
      <c r="O1469" s="23"/>
    </row>
    <row r="1470">
      <c r="A1470" s="16" t="str">
        <f t="shared" si="1"/>
        <v/>
      </c>
      <c r="B1470" s="17"/>
      <c r="C1470" s="18"/>
      <c r="D1470" s="24"/>
      <c r="J1470" s="22"/>
      <c r="K1470" s="22"/>
      <c r="L1470" s="23"/>
      <c r="M1470" s="23"/>
      <c r="N1470" s="23"/>
      <c r="O1470" s="23"/>
    </row>
    <row r="1471">
      <c r="A1471" s="16" t="str">
        <f t="shared" si="1"/>
        <v/>
      </c>
      <c r="B1471" s="17"/>
      <c r="C1471" s="18"/>
      <c r="D1471" s="24"/>
      <c r="J1471" s="22"/>
      <c r="K1471" s="22"/>
      <c r="L1471" s="23"/>
      <c r="M1471" s="23"/>
      <c r="N1471" s="23"/>
      <c r="O1471" s="23"/>
    </row>
    <row r="1472">
      <c r="A1472" s="16" t="str">
        <f t="shared" si="1"/>
        <v/>
      </c>
      <c r="B1472" s="17"/>
      <c r="C1472" s="18"/>
      <c r="D1472" s="24"/>
      <c r="J1472" s="22"/>
      <c r="K1472" s="22"/>
      <c r="L1472" s="23"/>
      <c r="M1472" s="23"/>
      <c r="N1472" s="23"/>
      <c r="O1472" s="23"/>
    </row>
    <row r="1473">
      <c r="A1473" s="16" t="str">
        <f t="shared" si="1"/>
        <v/>
      </c>
      <c r="B1473" s="17"/>
      <c r="C1473" s="18"/>
      <c r="D1473" s="24"/>
      <c r="J1473" s="22"/>
      <c r="K1473" s="22"/>
      <c r="L1473" s="23"/>
      <c r="M1473" s="23"/>
      <c r="N1473" s="23"/>
      <c r="O1473" s="23"/>
    </row>
    <row r="1474">
      <c r="A1474" s="16" t="str">
        <f t="shared" si="1"/>
        <v/>
      </c>
      <c r="B1474" s="17"/>
      <c r="C1474" s="18"/>
      <c r="D1474" s="24"/>
      <c r="J1474" s="22"/>
      <c r="K1474" s="22"/>
      <c r="L1474" s="23"/>
      <c r="M1474" s="23"/>
      <c r="N1474" s="23"/>
      <c r="O1474" s="23"/>
    </row>
    <row r="1475">
      <c r="A1475" s="16" t="str">
        <f t="shared" si="1"/>
        <v/>
      </c>
      <c r="B1475" s="17"/>
      <c r="C1475" s="18"/>
      <c r="D1475" s="24"/>
      <c r="J1475" s="22"/>
      <c r="K1475" s="22"/>
      <c r="L1475" s="23"/>
      <c r="M1475" s="23"/>
      <c r="N1475" s="23"/>
      <c r="O1475" s="23"/>
    </row>
    <row r="1476">
      <c r="A1476" s="16" t="str">
        <f t="shared" si="1"/>
        <v/>
      </c>
      <c r="B1476" s="17"/>
      <c r="C1476" s="18"/>
      <c r="D1476" s="24"/>
      <c r="J1476" s="22"/>
      <c r="K1476" s="22"/>
      <c r="L1476" s="23"/>
      <c r="M1476" s="23"/>
      <c r="N1476" s="23"/>
      <c r="O1476" s="23"/>
    </row>
    <row r="1477">
      <c r="A1477" s="16" t="str">
        <f t="shared" si="1"/>
        <v/>
      </c>
      <c r="B1477" s="17"/>
      <c r="C1477" s="18"/>
      <c r="D1477" s="24"/>
      <c r="J1477" s="22"/>
      <c r="K1477" s="22"/>
      <c r="L1477" s="23"/>
      <c r="M1477" s="23"/>
      <c r="N1477" s="23"/>
      <c r="O1477" s="23"/>
    </row>
    <row r="1478">
      <c r="A1478" s="16" t="str">
        <f t="shared" si="1"/>
        <v/>
      </c>
      <c r="B1478" s="17"/>
      <c r="C1478" s="18"/>
      <c r="D1478" s="24"/>
      <c r="J1478" s="22"/>
      <c r="K1478" s="22"/>
      <c r="L1478" s="23"/>
      <c r="M1478" s="23"/>
      <c r="N1478" s="23"/>
      <c r="O1478" s="23"/>
    </row>
    <row r="1479">
      <c r="A1479" s="16" t="str">
        <f t="shared" si="1"/>
        <v/>
      </c>
      <c r="B1479" s="17"/>
      <c r="C1479" s="18"/>
      <c r="D1479" s="24"/>
      <c r="J1479" s="22"/>
      <c r="K1479" s="22"/>
      <c r="L1479" s="23"/>
      <c r="M1479" s="23"/>
      <c r="N1479" s="23"/>
      <c r="O1479" s="23"/>
    </row>
    <row r="1480">
      <c r="A1480" s="16" t="str">
        <f t="shared" si="1"/>
        <v/>
      </c>
      <c r="B1480" s="17"/>
      <c r="C1480" s="18"/>
      <c r="D1480" s="24"/>
      <c r="J1480" s="22"/>
      <c r="K1480" s="22"/>
      <c r="L1480" s="23"/>
      <c r="M1480" s="23"/>
      <c r="N1480" s="23"/>
      <c r="O1480" s="23"/>
    </row>
    <row r="1481">
      <c r="A1481" s="16" t="str">
        <f t="shared" si="1"/>
        <v/>
      </c>
      <c r="B1481" s="17"/>
      <c r="C1481" s="18"/>
      <c r="D1481" s="24"/>
      <c r="J1481" s="22"/>
      <c r="K1481" s="22"/>
      <c r="L1481" s="23"/>
      <c r="M1481" s="23"/>
      <c r="N1481" s="23"/>
      <c r="O1481" s="23"/>
    </row>
    <row r="1482">
      <c r="A1482" s="16" t="str">
        <f t="shared" si="1"/>
        <v/>
      </c>
      <c r="B1482" s="17"/>
      <c r="C1482" s="18"/>
      <c r="D1482" s="24"/>
      <c r="J1482" s="22"/>
      <c r="K1482" s="22"/>
      <c r="L1482" s="23"/>
      <c r="M1482" s="23"/>
      <c r="N1482" s="23"/>
      <c r="O1482" s="23"/>
    </row>
    <row r="1483">
      <c r="A1483" s="16" t="str">
        <f t="shared" si="1"/>
        <v/>
      </c>
      <c r="B1483" s="17"/>
      <c r="C1483" s="18"/>
      <c r="D1483" s="24"/>
      <c r="J1483" s="22"/>
      <c r="K1483" s="22"/>
      <c r="L1483" s="23"/>
      <c r="M1483" s="23"/>
      <c r="N1483" s="23"/>
      <c r="O1483" s="23"/>
    </row>
    <row r="1484">
      <c r="A1484" s="16" t="str">
        <f t="shared" si="1"/>
        <v/>
      </c>
      <c r="B1484" s="17"/>
      <c r="C1484" s="18"/>
      <c r="D1484" s="24"/>
      <c r="J1484" s="22"/>
      <c r="K1484" s="22"/>
      <c r="L1484" s="23"/>
      <c r="M1484" s="23"/>
      <c r="N1484" s="23"/>
      <c r="O1484" s="23"/>
    </row>
    <row r="1485">
      <c r="A1485" s="16" t="str">
        <f t="shared" si="1"/>
        <v/>
      </c>
      <c r="B1485" s="17"/>
      <c r="C1485" s="18"/>
      <c r="D1485" s="24"/>
      <c r="J1485" s="22"/>
      <c r="K1485" s="22"/>
      <c r="L1485" s="23"/>
      <c r="M1485" s="23"/>
      <c r="N1485" s="23"/>
      <c r="O1485" s="23"/>
    </row>
    <row r="1486">
      <c r="A1486" s="16" t="str">
        <f t="shared" si="1"/>
        <v/>
      </c>
      <c r="B1486" s="17"/>
      <c r="C1486" s="18"/>
      <c r="D1486" s="24"/>
      <c r="J1486" s="22"/>
      <c r="K1486" s="22"/>
      <c r="L1486" s="23"/>
      <c r="M1486" s="23"/>
      <c r="N1486" s="23"/>
      <c r="O1486" s="23"/>
    </row>
    <row r="1487">
      <c r="A1487" s="16" t="str">
        <f t="shared" si="1"/>
        <v/>
      </c>
      <c r="B1487" s="17"/>
      <c r="C1487" s="18"/>
      <c r="D1487" s="24"/>
      <c r="J1487" s="22"/>
      <c r="K1487" s="22"/>
      <c r="L1487" s="23"/>
      <c r="M1487" s="23"/>
      <c r="N1487" s="23"/>
      <c r="O1487" s="23"/>
    </row>
    <row r="1488">
      <c r="A1488" s="16" t="str">
        <f t="shared" si="1"/>
        <v/>
      </c>
      <c r="B1488" s="17"/>
      <c r="C1488" s="18"/>
      <c r="D1488" s="24"/>
      <c r="J1488" s="22"/>
      <c r="K1488" s="22"/>
      <c r="L1488" s="23"/>
      <c r="M1488" s="23"/>
      <c r="N1488" s="23"/>
      <c r="O1488" s="23"/>
    </row>
    <row r="1489">
      <c r="A1489" s="16" t="str">
        <f t="shared" si="1"/>
        <v/>
      </c>
      <c r="B1489" s="17"/>
      <c r="C1489" s="18"/>
      <c r="D1489" s="24"/>
      <c r="J1489" s="22"/>
      <c r="K1489" s="22"/>
      <c r="L1489" s="23"/>
      <c r="M1489" s="23"/>
      <c r="N1489" s="23"/>
      <c r="O1489" s="23"/>
    </row>
    <row r="1490">
      <c r="A1490" s="16" t="str">
        <f t="shared" si="1"/>
        <v/>
      </c>
      <c r="B1490" s="17"/>
      <c r="C1490" s="18"/>
      <c r="D1490" s="24"/>
      <c r="J1490" s="22"/>
      <c r="K1490" s="22"/>
      <c r="L1490" s="23"/>
      <c r="M1490" s="23"/>
      <c r="N1490" s="23"/>
      <c r="O1490" s="23"/>
    </row>
    <row r="1491">
      <c r="A1491" s="16" t="str">
        <f t="shared" si="1"/>
        <v/>
      </c>
      <c r="B1491" s="17"/>
      <c r="C1491" s="18"/>
      <c r="D1491" s="24"/>
      <c r="J1491" s="22"/>
      <c r="K1491" s="22"/>
      <c r="L1491" s="23"/>
      <c r="M1491" s="23"/>
      <c r="N1491" s="23"/>
      <c r="O1491" s="23"/>
    </row>
    <row r="1492">
      <c r="A1492" s="16" t="str">
        <f t="shared" si="1"/>
        <v/>
      </c>
      <c r="B1492" s="17"/>
      <c r="C1492" s="18"/>
      <c r="D1492" s="24"/>
      <c r="J1492" s="22"/>
      <c r="K1492" s="22"/>
      <c r="L1492" s="23"/>
      <c r="M1492" s="23"/>
      <c r="N1492" s="23"/>
      <c r="O1492" s="23"/>
    </row>
    <row r="1493">
      <c r="A1493" s="16" t="str">
        <f t="shared" si="1"/>
        <v/>
      </c>
      <c r="B1493" s="17"/>
      <c r="C1493" s="18"/>
      <c r="D1493" s="24"/>
      <c r="J1493" s="22"/>
      <c r="K1493" s="22"/>
      <c r="L1493" s="23"/>
      <c r="M1493" s="23"/>
      <c r="N1493" s="23"/>
      <c r="O1493" s="23"/>
    </row>
    <row r="1494">
      <c r="A1494" s="16" t="str">
        <f t="shared" si="1"/>
        <v/>
      </c>
      <c r="B1494" s="17"/>
      <c r="C1494" s="18"/>
      <c r="D1494" s="24"/>
      <c r="J1494" s="22"/>
      <c r="K1494" s="22"/>
      <c r="L1494" s="23"/>
      <c r="M1494" s="23"/>
      <c r="N1494" s="23"/>
      <c r="O1494" s="23"/>
    </row>
    <row r="1495">
      <c r="A1495" s="16" t="str">
        <f t="shared" si="1"/>
        <v/>
      </c>
      <c r="B1495" s="17"/>
      <c r="C1495" s="18"/>
      <c r="D1495" s="24"/>
      <c r="J1495" s="22"/>
      <c r="K1495" s="22"/>
      <c r="L1495" s="23"/>
      <c r="M1495" s="23"/>
      <c r="N1495" s="23"/>
      <c r="O1495" s="23"/>
    </row>
    <row r="1496">
      <c r="A1496" s="16" t="str">
        <f t="shared" si="1"/>
        <v/>
      </c>
      <c r="B1496" s="17"/>
      <c r="C1496" s="18"/>
      <c r="D1496" s="24"/>
      <c r="J1496" s="22"/>
      <c r="K1496" s="22"/>
      <c r="L1496" s="23"/>
      <c r="M1496" s="23"/>
      <c r="N1496" s="23"/>
      <c r="O1496" s="23"/>
    </row>
    <row r="1497">
      <c r="A1497" s="16" t="str">
        <f t="shared" si="1"/>
        <v/>
      </c>
      <c r="B1497" s="17"/>
      <c r="C1497" s="18"/>
      <c r="D1497" s="24"/>
      <c r="J1497" s="22"/>
      <c r="K1497" s="22"/>
      <c r="L1497" s="23"/>
      <c r="M1497" s="23"/>
      <c r="N1497" s="23"/>
      <c r="O1497" s="23"/>
    </row>
    <row r="1498">
      <c r="A1498" s="16" t="str">
        <f t="shared" si="1"/>
        <v/>
      </c>
      <c r="B1498" s="17"/>
      <c r="C1498" s="18"/>
      <c r="D1498" s="24"/>
      <c r="J1498" s="22"/>
      <c r="K1498" s="22"/>
      <c r="L1498" s="23"/>
      <c r="M1498" s="23"/>
      <c r="N1498" s="23"/>
      <c r="O1498" s="23"/>
    </row>
    <row r="1499">
      <c r="A1499" s="16" t="str">
        <f t="shared" si="1"/>
        <v/>
      </c>
      <c r="B1499" s="17"/>
      <c r="C1499" s="18"/>
      <c r="D1499" s="24"/>
      <c r="J1499" s="22"/>
      <c r="K1499" s="22"/>
      <c r="L1499" s="23"/>
      <c r="M1499" s="23"/>
      <c r="N1499" s="23"/>
      <c r="O1499" s="23"/>
    </row>
    <row r="1500">
      <c r="A1500" s="16" t="str">
        <f t="shared" si="1"/>
        <v/>
      </c>
      <c r="B1500" s="17"/>
      <c r="C1500" s="18"/>
      <c r="D1500" s="24"/>
      <c r="J1500" s="22"/>
      <c r="K1500" s="22"/>
      <c r="L1500" s="23"/>
      <c r="M1500" s="23"/>
      <c r="N1500" s="23"/>
      <c r="O1500" s="23"/>
    </row>
    <row r="1501">
      <c r="A1501" s="16" t="str">
        <f t="shared" si="1"/>
        <v/>
      </c>
      <c r="B1501" s="17"/>
      <c r="C1501" s="18"/>
      <c r="D1501" s="24"/>
      <c r="J1501" s="22"/>
      <c r="K1501" s="22"/>
      <c r="L1501" s="23"/>
      <c r="M1501" s="23"/>
      <c r="N1501" s="23"/>
      <c r="O1501" s="23"/>
    </row>
    <row r="1502">
      <c r="A1502" s="16" t="str">
        <f t="shared" si="1"/>
        <v/>
      </c>
      <c r="B1502" s="17"/>
      <c r="C1502" s="18"/>
      <c r="D1502" s="24"/>
      <c r="J1502" s="22"/>
      <c r="K1502" s="22"/>
      <c r="L1502" s="23"/>
      <c r="M1502" s="23"/>
      <c r="N1502" s="23"/>
      <c r="O1502" s="23"/>
    </row>
    <row r="1503">
      <c r="A1503" s="16" t="str">
        <f t="shared" si="1"/>
        <v/>
      </c>
      <c r="B1503" s="17"/>
      <c r="C1503" s="18"/>
      <c r="D1503" s="24"/>
      <c r="J1503" s="22"/>
      <c r="K1503" s="22"/>
      <c r="L1503" s="23"/>
      <c r="M1503" s="23"/>
      <c r="N1503" s="23"/>
      <c r="O1503" s="23"/>
    </row>
    <row r="1504">
      <c r="A1504" s="16" t="str">
        <f t="shared" si="1"/>
        <v/>
      </c>
      <c r="B1504" s="17"/>
      <c r="C1504" s="18"/>
      <c r="D1504" s="24"/>
      <c r="J1504" s="22"/>
      <c r="K1504" s="22"/>
      <c r="L1504" s="23"/>
      <c r="M1504" s="23"/>
      <c r="N1504" s="23"/>
      <c r="O1504" s="23"/>
    </row>
    <row r="1505">
      <c r="A1505" s="16" t="str">
        <f t="shared" si="1"/>
        <v/>
      </c>
      <c r="B1505" s="17"/>
      <c r="C1505" s="18"/>
      <c r="D1505" s="24"/>
      <c r="J1505" s="22"/>
      <c r="K1505" s="22"/>
      <c r="L1505" s="23"/>
      <c r="M1505" s="23"/>
      <c r="N1505" s="23"/>
      <c r="O1505" s="23"/>
    </row>
    <row r="1506">
      <c r="A1506" s="16" t="str">
        <f t="shared" si="1"/>
        <v/>
      </c>
      <c r="B1506" s="17"/>
      <c r="C1506" s="18"/>
      <c r="D1506" s="24"/>
      <c r="J1506" s="22"/>
      <c r="K1506" s="22"/>
      <c r="L1506" s="23"/>
      <c r="M1506" s="23"/>
      <c r="N1506" s="23"/>
      <c r="O1506" s="23"/>
    </row>
    <row r="1507">
      <c r="A1507" s="16" t="str">
        <f t="shared" si="1"/>
        <v/>
      </c>
      <c r="B1507" s="17"/>
      <c r="C1507" s="18"/>
      <c r="D1507" s="24"/>
      <c r="J1507" s="22"/>
      <c r="K1507" s="22"/>
      <c r="L1507" s="23"/>
      <c r="M1507" s="23"/>
      <c r="N1507" s="23"/>
      <c r="O1507" s="23"/>
    </row>
    <row r="1508">
      <c r="A1508" s="16" t="str">
        <f t="shared" si="1"/>
        <v/>
      </c>
      <c r="B1508" s="17"/>
      <c r="C1508" s="18"/>
      <c r="D1508" s="24"/>
      <c r="J1508" s="22"/>
      <c r="K1508" s="22"/>
      <c r="L1508" s="23"/>
      <c r="M1508" s="23"/>
      <c r="N1508" s="23"/>
      <c r="O1508" s="23"/>
    </row>
    <row r="1509">
      <c r="A1509" s="16" t="str">
        <f t="shared" si="1"/>
        <v/>
      </c>
      <c r="B1509" s="17"/>
      <c r="C1509" s="18"/>
      <c r="D1509" s="24"/>
      <c r="J1509" s="22"/>
      <c r="K1509" s="22"/>
      <c r="L1509" s="23"/>
      <c r="M1509" s="23"/>
      <c r="N1509" s="23"/>
      <c r="O1509" s="23"/>
    </row>
    <row r="1510">
      <c r="A1510" s="16" t="str">
        <f t="shared" si="1"/>
        <v/>
      </c>
      <c r="B1510" s="17"/>
      <c r="C1510" s="18"/>
      <c r="D1510" s="24"/>
      <c r="J1510" s="22"/>
      <c r="K1510" s="22"/>
      <c r="L1510" s="23"/>
      <c r="M1510" s="23"/>
      <c r="N1510" s="23"/>
      <c r="O1510" s="23"/>
    </row>
    <row r="1511">
      <c r="A1511" s="16" t="str">
        <f t="shared" si="1"/>
        <v/>
      </c>
      <c r="B1511" s="17"/>
      <c r="C1511" s="18"/>
      <c r="D1511" s="24"/>
      <c r="J1511" s="22"/>
      <c r="K1511" s="22"/>
      <c r="L1511" s="23"/>
      <c r="M1511" s="23"/>
      <c r="N1511" s="23"/>
      <c r="O1511" s="23"/>
    </row>
    <row r="1512">
      <c r="A1512" s="16" t="str">
        <f t="shared" si="1"/>
        <v/>
      </c>
      <c r="B1512" s="17"/>
      <c r="C1512" s="18"/>
      <c r="D1512" s="24"/>
      <c r="J1512" s="22"/>
      <c r="K1512" s="22"/>
      <c r="L1512" s="23"/>
      <c r="M1512" s="23"/>
      <c r="N1512" s="23"/>
      <c r="O1512" s="23"/>
    </row>
    <row r="1513">
      <c r="A1513" s="16" t="str">
        <f t="shared" si="1"/>
        <v/>
      </c>
      <c r="B1513" s="17"/>
      <c r="C1513" s="18"/>
      <c r="D1513" s="24"/>
      <c r="J1513" s="22"/>
      <c r="K1513" s="22"/>
      <c r="L1513" s="23"/>
      <c r="M1513" s="23"/>
      <c r="N1513" s="23"/>
      <c r="O1513" s="23"/>
    </row>
    <row r="1514">
      <c r="A1514" s="16" t="str">
        <f t="shared" si="1"/>
        <v/>
      </c>
      <c r="B1514" s="17"/>
      <c r="C1514" s="18"/>
      <c r="D1514" s="24"/>
      <c r="J1514" s="22"/>
      <c r="K1514" s="22"/>
      <c r="L1514" s="23"/>
      <c r="M1514" s="23"/>
      <c r="N1514" s="23"/>
      <c r="O1514" s="23"/>
    </row>
    <row r="1515">
      <c r="A1515" s="16" t="str">
        <f t="shared" si="1"/>
        <v/>
      </c>
      <c r="B1515" s="17"/>
      <c r="C1515" s="18"/>
      <c r="D1515" s="24"/>
      <c r="J1515" s="22"/>
      <c r="K1515" s="22"/>
      <c r="L1515" s="23"/>
      <c r="M1515" s="23"/>
      <c r="N1515" s="23"/>
      <c r="O1515" s="23"/>
    </row>
    <row r="1516">
      <c r="A1516" s="16" t="str">
        <f t="shared" si="1"/>
        <v/>
      </c>
      <c r="B1516" s="17"/>
      <c r="C1516" s="18"/>
      <c r="D1516" s="24"/>
      <c r="J1516" s="22"/>
      <c r="K1516" s="22"/>
      <c r="L1516" s="23"/>
      <c r="M1516" s="23"/>
      <c r="N1516" s="23"/>
      <c r="O1516" s="23"/>
    </row>
    <row r="1517">
      <c r="A1517" s="16" t="str">
        <f t="shared" si="1"/>
        <v/>
      </c>
      <c r="B1517" s="17"/>
      <c r="C1517" s="18"/>
      <c r="D1517" s="24"/>
      <c r="J1517" s="22"/>
      <c r="K1517" s="22"/>
      <c r="L1517" s="23"/>
      <c r="M1517" s="23"/>
      <c r="N1517" s="23"/>
      <c r="O1517" s="23"/>
    </row>
    <row r="1518">
      <c r="A1518" s="16" t="str">
        <f t="shared" si="1"/>
        <v/>
      </c>
      <c r="B1518" s="17"/>
      <c r="C1518" s="18"/>
      <c r="D1518" s="24"/>
      <c r="J1518" s="22"/>
      <c r="K1518" s="22"/>
      <c r="L1518" s="23"/>
      <c r="M1518" s="23"/>
      <c r="N1518" s="23"/>
      <c r="O1518" s="23"/>
    </row>
    <row r="1519">
      <c r="A1519" s="16" t="str">
        <f t="shared" si="1"/>
        <v/>
      </c>
      <c r="B1519" s="17"/>
      <c r="C1519" s="18"/>
      <c r="D1519" s="24"/>
      <c r="J1519" s="22"/>
      <c r="K1519" s="22"/>
      <c r="L1519" s="23"/>
      <c r="M1519" s="23"/>
      <c r="N1519" s="23"/>
      <c r="O1519" s="23"/>
    </row>
    <row r="1520">
      <c r="A1520" s="16" t="str">
        <f t="shared" si="1"/>
        <v/>
      </c>
      <c r="B1520" s="17"/>
      <c r="C1520" s="18"/>
      <c r="D1520" s="24"/>
      <c r="J1520" s="22"/>
      <c r="K1520" s="22"/>
      <c r="L1520" s="23"/>
      <c r="M1520" s="23"/>
      <c r="N1520" s="23"/>
      <c r="O1520" s="23"/>
    </row>
    <row r="1521">
      <c r="A1521" s="16" t="str">
        <f t="shared" si="1"/>
        <v/>
      </c>
      <c r="B1521" s="17"/>
      <c r="C1521" s="18"/>
      <c r="D1521" s="24"/>
      <c r="J1521" s="22"/>
      <c r="K1521" s="22"/>
      <c r="L1521" s="23"/>
      <c r="M1521" s="23"/>
      <c r="N1521" s="23"/>
      <c r="O1521" s="23"/>
    </row>
    <row r="1522">
      <c r="A1522" s="16" t="str">
        <f t="shared" si="1"/>
        <v/>
      </c>
      <c r="B1522" s="17"/>
      <c r="C1522" s="18"/>
      <c r="D1522" s="24"/>
      <c r="J1522" s="22"/>
      <c r="K1522" s="22"/>
      <c r="L1522" s="23"/>
      <c r="M1522" s="23"/>
      <c r="N1522" s="23"/>
      <c r="O1522" s="23"/>
    </row>
    <row r="1523">
      <c r="A1523" s="16" t="str">
        <f t="shared" si="1"/>
        <v/>
      </c>
      <c r="B1523" s="17"/>
      <c r="C1523" s="18"/>
      <c r="D1523" s="24"/>
      <c r="J1523" s="22"/>
      <c r="K1523" s="22"/>
      <c r="L1523" s="23"/>
      <c r="M1523" s="23"/>
      <c r="N1523" s="23"/>
      <c r="O1523" s="23"/>
    </row>
    <row r="1524">
      <c r="A1524" s="16" t="str">
        <f t="shared" si="1"/>
        <v/>
      </c>
      <c r="B1524" s="17"/>
      <c r="C1524" s="18"/>
      <c r="D1524" s="24"/>
      <c r="J1524" s="22"/>
      <c r="K1524" s="22"/>
      <c r="L1524" s="23"/>
      <c r="M1524" s="23"/>
      <c r="N1524" s="23"/>
      <c r="O1524" s="23"/>
    </row>
    <row r="1525">
      <c r="A1525" s="16" t="str">
        <f t="shared" si="1"/>
        <v/>
      </c>
      <c r="B1525" s="17"/>
      <c r="C1525" s="18"/>
      <c r="D1525" s="24"/>
      <c r="J1525" s="22"/>
      <c r="K1525" s="22"/>
      <c r="L1525" s="23"/>
      <c r="M1525" s="23"/>
      <c r="N1525" s="23"/>
      <c r="O1525" s="23"/>
    </row>
    <row r="1526">
      <c r="A1526" s="16" t="str">
        <f t="shared" si="1"/>
        <v/>
      </c>
      <c r="B1526" s="17"/>
      <c r="C1526" s="18"/>
      <c r="D1526" s="24"/>
      <c r="J1526" s="22"/>
      <c r="K1526" s="22"/>
      <c r="L1526" s="23"/>
      <c r="M1526" s="23"/>
      <c r="N1526" s="23"/>
      <c r="O1526" s="23"/>
    </row>
    <row r="1527">
      <c r="A1527" s="16" t="str">
        <f t="shared" si="1"/>
        <v/>
      </c>
      <c r="B1527" s="17"/>
      <c r="C1527" s="18"/>
      <c r="D1527" s="24"/>
      <c r="J1527" s="22"/>
      <c r="K1527" s="22"/>
      <c r="L1527" s="23"/>
      <c r="M1527" s="23"/>
      <c r="N1527" s="23"/>
      <c r="O1527" s="23"/>
    </row>
    <row r="1528">
      <c r="A1528" s="16" t="str">
        <f t="shared" si="1"/>
        <v/>
      </c>
      <c r="B1528" s="17"/>
      <c r="C1528" s="18"/>
      <c r="D1528" s="24"/>
      <c r="J1528" s="22"/>
      <c r="K1528" s="22"/>
      <c r="L1528" s="23"/>
      <c r="M1528" s="23"/>
      <c r="N1528" s="23"/>
      <c r="O1528" s="23"/>
    </row>
    <row r="1529">
      <c r="A1529" s="16" t="str">
        <f t="shared" si="1"/>
        <v/>
      </c>
      <c r="B1529" s="17"/>
      <c r="C1529" s="18"/>
      <c r="D1529" s="24"/>
      <c r="J1529" s="22"/>
      <c r="K1529" s="22"/>
      <c r="L1529" s="23"/>
      <c r="M1529" s="23"/>
      <c r="N1529" s="23"/>
      <c r="O1529" s="23"/>
    </row>
    <row r="1530">
      <c r="A1530" s="16" t="str">
        <f t="shared" si="1"/>
        <v/>
      </c>
      <c r="B1530" s="17"/>
      <c r="C1530" s="18"/>
      <c r="D1530" s="24"/>
      <c r="J1530" s="22"/>
      <c r="K1530" s="22"/>
      <c r="L1530" s="23"/>
      <c r="M1530" s="23"/>
      <c r="N1530" s="23"/>
      <c r="O1530" s="23"/>
    </row>
    <row r="1531">
      <c r="A1531" s="16" t="str">
        <f t="shared" si="1"/>
        <v/>
      </c>
      <c r="B1531" s="17"/>
      <c r="C1531" s="18"/>
      <c r="D1531" s="24"/>
      <c r="J1531" s="22"/>
      <c r="K1531" s="22"/>
      <c r="L1531" s="23"/>
      <c r="M1531" s="23"/>
      <c r="N1531" s="23"/>
      <c r="O1531" s="23"/>
    </row>
    <row r="1532">
      <c r="A1532" s="16" t="str">
        <f t="shared" si="1"/>
        <v/>
      </c>
      <c r="B1532" s="17"/>
      <c r="C1532" s="18"/>
      <c r="D1532" s="24"/>
      <c r="J1532" s="22"/>
      <c r="K1532" s="22"/>
      <c r="L1532" s="23"/>
      <c r="M1532" s="23"/>
      <c r="N1532" s="23"/>
      <c r="O1532" s="23"/>
    </row>
    <row r="1533">
      <c r="A1533" s="16" t="str">
        <f t="shared" si="1"/>
        <v/>
      </c>
      <c r="B1533" s="17"/>
      <c r="C1533" s="18"/>
      <c r="D1533" s="24"/>
      <c r="J1533" s="22"/>
      <c r="K1533" s="22"/>
      <c r="L1533" s="23"/>
      <c r="M1533" s="23"/>
      <c r="N1533" s="23"/>
      <c r="O1533" s="23"/>
    </row>
    <row r="1534">
      <c r="A1534" s="16" t="str">
        <f t="shared" si="1"/>
        <v/>
      </c>
      <c r="B1534" s="17"/>
      <c r="C1534" s="18"/>
      <c r="D1534" s="24"/>
      <c r="J1534" s="22"/>
      <c r="K1534" s="22"/>
      <c r="L1534" s="23"/>
      <c r="M1534" s="23"/>
      <c r="N1534" s="23"/>
      <c r="O1534" s="23"/>
    </row>
    <row r="1535">
      <c r="A1535" s="16" t="str">
        <f t="shared" si="1"/>
        <v/>
      </c>
      <c r="B1535" s="17"/>
      <c r="C1535" s="18"/>
      <c r="D1535" s="24"/>
      <c r="J1535" s="22"/>
      <c r="K1535" s="22"/>
      <c r="L1535" s="23"/>
      <c r="M1535" s="23"/>
      <c r="N1535" s="23"/>
      <c r="O1535" s="23"/>
    </row>
    <row r="1536">
      <c r="A1536" s="16" t="str">
        <f t="shared" si="1"/>
        <v/>
      </c>
      <c r="B1536" s="17"/>
      <c r="C1536" s="18"/>
      <c r="D1536" s="24"/>
      <c r="J1536" s="22"/>
      <c r="K1536" s="22"/>
      <c r="L1536" s="23"/>
      <c r="M1536" s="23"/>
      <c r="N1536" s="23"/>
      <c r="O1536" s="23"/>
    </row>
    <row r="1537">
      <c r="A1537" s="16" t="str">
        <f t="shared" si="1"/>
        <v/>
      </c>
      <c r="B1537" s="17"/>
      <c r="C1537" s="18"/>
      <c r="D1537" s="24"/>
      <c r="J1537" s="22"/>
      <c r="K1537" s="22"/>
      <c r="L1537" s="23"/>
      <c r="M1537" s="23"/>
      <c r="N1537" s="23"/>
      <c r="O1537" s="23"/>
    </row>
    <row r="1538">
      <c r="A1538" s="16" t="str">
        <f t="shared" si="1"/>
        <v/>
      </c>
      <c r="B1538" s="17"/>
      <c r="C1538" s="18"/>
      <c r="D1538" s="24"/>
      <c r="J1538" s="22"/>
      <c r="K1538" s="22"/>
      <c r="L1538" s="23"/>
      <c r="M1538" s="23"/>
      <c r="N1538" s="23"/>
      <c r="O1538" s="23"/>
    </row>
    <row r="1539">
      <c r="A1539" s="16" t="str">
        <f t="shared" si="1"/>
        <v/>
      </c>
      <c r="B1539" s="17"/>
      <c r="C1539" s="18"/>
      <c r="D1539" s="24"/>
      <c r="J1539" s="22"/>
      <c r="K1539" s="22"/>
      <c r="L1539" s="23"/>
      <c r="M1539" s="23"/>
      <c r="N1539" s="23"/>
      <c r="O1539" s="23"/>
    </row>
    <row r="1540">
      <c r="A1540" s="16" t="str">
        <f t="shared" si="1"/>
        <v/>
      </c>
      <c r="B1540" s="17"/>
      <c r="C1540" s="18"/>
      <c r="D1540" s="24"/>
      <c r="J1540" s="22"/>
      <c r="K1540" s="22"/>
      <c r="L1540" s="23"/>
      <c r="M1540" s="23"/>
      <c r="N1540" s="23"/>
      <c r="O1540" s="23"/>
    </row>
    <row r="1541">
      <c r="A1541" s="16" t="str">
        <f t="shared" si="1"/>
        <v/>
      </c>
      <c r="B1541" s="17"/>
      <c r="C1541" s="18"/>
      <c r="D1541" s="24"/>
      <c r="J1541" s="22"/>
      <c r="K1541" s="22"/>
      <c r="L1541" s="23"/>
      <c r="M1541" s="23"/>
      <c r="N1541" s="23"/>
      <c r="O1541" s="23"/>
    </row>
    <row r="1542">
      <c r="A1542" s="16" t="str">
        <f t="shared" si="1"/>
        <v/>
      </c>
      <c r="B1542" s="17"/>
      <c r="C1542" s="18"/>
      <c r="D1542" s="24"/>
      <c r="J1542" s="22"/>
      <c r="K1542" s="22"/>
      <c r="L1542" s="23"/>
      <c r="M1542" s="23"/>
      <c r="N1542" s="23"/>
      <c r="O1542" s="23"/>
    </row>
    <row r="1543">
      <c r="A1543" s="16" t="str">
        <f t="shared" si="1"/>
        <v/>
      </c>
      <c r="B1543" s="17"/>
      <c r="C1543" s="18"/>
      <c r="D1543" s="24"/>
      <c r="J1543" s="22"/>
      <c r="K1543" s="22"/>
      <c r="L1543" s="23"/>
      <c r="M1543" s="23"/>
      <c r="N1543" s="23"/>
      <c r="O1543" s="23"/>
    </row>
    <row r="1544">
      <c r="A1544" s="16" t="str">
        <f t="shared" si="1"/>
        <v/>
      </c>
      <c r="B1544" s="17"/>
      <c r="C1544" s="18"/>
      <c r="D1544" s="24"/>
      <c r="J1544" s="22"/>
      <c r="K1544" s="22"/>
      <c r="L1544" s="23"/>
      <c r="M1544" s="23"/>
      <c r="N1544" s="23"/>
      <c r="O1544" s="23"/>
    </row>
    <row r="1545">
      <c r="A1545" s="16" t="str">
        <f t="shared" si="1"/>
        <v/>
      </c>
      <c r="B1545" s="17"/>
      <c r="C1545" s="18"/>
      <c r="D1545" s="24"/>
      <c r="J1545" s="22"/>
      <c r="K1545" s="22"/>
      <c r="L1545" s="23"/>
      <c r="M1545" s="23"/>
      <c r="N1545" s="23"/>
      <c r="O1545" s="23"/>
    </row>
    <row r="1546">
      <c r="A1546" s="16" t="str">
        <f t="shared" si="1"/>
        <v/>
      </c>
      <c r="B1546" s="17"/>
      <c r="C1546" s="18"/>
      <c r="D1546" s="24"/>
      <c r="J1546" s="22"/>
      <c r="K1546" s="22"/>
      <c r="L1546" s="23"/>
      <c r="M1546" s="23"/>
      <c r="N1546" s="23"/>
      <c r="O1546" s="23"/>
    </row>
    <row r="1547">
      <c r="A1547" s="16" t="str">
        <f t="shared" si="1"/>
        <v/>
      </c>
      <c r="B1547" s="17"/>
      <c r="C1547" s="18"/>
      <c r="D1547" s="24"/>
      <c r="J1547" s="22"/>
      <c r="K1547" s="22"/>
      <c r="L1547" s="23"/>
      <c r="M1547" s="23"/>
      <c r="N1547" s="23"/>
      <c r="O1547" s="23"/>
    </row>
    <row r="1548">
      <c r="A1548" s="16" t="str">
        <f t="shared" si="1"/>
        <v/>
      </c>
      <c r="B1548" s="17"/>
      <c r="C1548" s="18"/>
      <c r="D1548" s="24"/>
      <c r="J1548" s="22"/>
      <c r="K1548" s="22"/>
      <c r="L1548" s="23"/>
      <c r="M1548" s="23"/>
      <c r="N1548" s="23"/>
      <c r="O1548" s="23"/>
    </row>
    <row r="1549">
      <c r="A1549" s="16" t="str">
        <f t="shared" si="1"/>
        <v/>
      </c>
      <c r="B1549" s="17"/>
      <c r="C1549" s="18"/>
      <c r="D1549" s="24"/>
      <c r="J1549" s="22"/>
      <c r="K1549" s="22"/>
      <c r="L1549" s="23"/>
      <c r="M1549" s="23"/>
      <c r="N1549" s="23"/>
      <c r="O1549" s="23"/>
    </row>
    <row r="1550">
      <c r="A1550" s="16" t="str">
        <f t="shared" si="1"/>
        <v/>
      </c>
      <c r="B1550" s="17"/>
      <c r="C1550" s="18"/>
      <c r="D1550" s="24"/>
      <c r="J1550" s="22"/>
      <c r="K1550" s="22"/>
      <c r="L1550" s="23"/>
      <c r="M1550" s="23"/>
      <c r="N1550" s="23"/>
      <c r="O1550" s="23"/>
    </row>
    <row r="1551">
      <c r="A1551" s="16" t="str">
        <f t="shared" si="1"/>
        <v/>
      </c>
      <c r="B1551" s="17"/>
      <c r="C1551" s="18"/>
      <c r="D1551" s="24"/>
      <c r="J1551" s="22"/>
      <c r="K1551" s="22"/>
      <c r="L1551" s="23"/>
      <c r="M1551" s="23"/>
      <c r="N1551" s="23"/>
      <c r="O1551" s="23"/>
    </row>
    <row r="1552">
      <c r="A1552" s="16" t="str">
        <f t="shared" si="1"/>
        <v/>
      </c>
      <c r="B1552" s="17"/>
      <c r="C1552" s="18"/>
      <c r="D1552" s="24"/>
      <c r="J1552" s="22"/>
      <c r="K1552" s="22"/>
      <c r="L1552" s="23"/>
      <c r="M1552" s="23"/>
      <c r="N1552" s="23"/>
      <c r="O1552" s="23"/>
    </row>
    <row r="1553">
      <c r="A1553" s="16" t="str">
        <f t="shared" si="1"/>
        <v/>
      </c>
      <c r="B1553" s="17"/>
      <c r="C1553" s="18"/>
      <c r="D1553" s="24"/>
      <c r="J1553" s="22"/>
      <c r="K1553" s="22"/>
      <c r="L1553" s="23"/>
      <c r="M1553" s="23"/>
      <c r="N1553" s="23"/>
      <c r="O1553" s="23"/>
    </row>
    <row r="1554">
      <c r="A1554" s="16" t="str">
        <f t="shared" si="1"/>
        <v/>
      </c>
      <c r="B1554" s="17"/>
      <c r="C1554" s="18"/>
      <c r="D1554" s="24"/>
      <c r="J1554" s="22"/>
      <c r="K1554" s="22"/>
      <c r="L1554" s="23"/>
      <c r="M1554" s="23"/>
      <c r="N1554" s="23"/>
      <c r="O1554" s="23"/>
    </row>
    <row r="1555">
      <c r="A1555" s="16" t="str">
        <f t="shared" si="1"/>
        <v/>
      </c>
      <c r="B1555" s="17"/>
      <c r="C1555" s="18"/>
      <c r="D1555" s="24"/>
      <c r="J1555" s="22"/>
      <c r="K1555" s="22"/>
      <c r="L1555" s="23"/>
      <c r="M1555" s="23"/>
      <c r="N1555" s="23"/>
      <c r="O1555" s="23"/>
    </row>
    <row r="1556">
      <c r="A1556" s="16" t="str">
        <f t="shared" si="1"/>
        <v/>
      </c>
      <c r="B1556" s="17"/>
      <c r="C1556" s="18"/>
      <c r="D1556" s="24"/>
      <c r="J1556" s="22"/>
      <c r="K1556" s="22"/>
      <c r="L1556" s="23"/>
      <c r="M1556" s="23"/>
      <c r="N1556" s="23"/>
      <c r="O1556" s="23"/>
    </row>
    <row r="1557">
      <c r="A1557" s="16" t="str">
        <f t="shared" si="1"/>
        <v/>
      </c>
      <c r="B1557" s="17"/>
      <c r="C1557" s="18"/>
      <c r="D1557" s="24"/>
      <c r="J1557" s="22"/>
      <c r="K1557" s="22"/>
      <c r="L1557" s="23"/>
      <c r="M1557" s="23"/>
      <c r="N1557" s="23"/>
      <c r="O1557" s="23"/>
    </row>
  </sheetData>
  <customSheetViews>
    <customSheetView guid="{08015A59-CE80-4CF7-9550-B25F974F5420}" filter="1" showAutoFilter="1">
      <autoFilter ref="$A$1:$T$556">
        <filterColumn colId="7">
          <filters>
            <filter val="待修正"/>
          </filters>
        </filterColumn>
      </autoFilter>
    </customSheetView>
    <customSheetView guid="{C234C53D-B18B-4E85-BC1C-80AF7800FC3D}" filter="1" showAutoFilter="1">
      <autoFilter ref="$A$1:$AH$1001">
        <filterColumn colId="13">
          <filters>
            <filter val="2025/8/15"/>
            <filter val="2025/10/31"/>
            <filter val="2025/11/19"/>
            <filter val="2025/11/18"/>
            <filter val="2025/11/17"/>
            <filter val="2025/11/12"/>
            <filter val="2025/11/10"/>
            <filter val="2025/11/20"/>
            <filter val="2025/10/17"/>
            <filter val="2025/10/15"/>
            <filter val="2025/10/13"/>
            <filter val="2025/10/14"/>
            <filter val="2025/8/29"/>
            <filter val="2025/8/27"/>
            <filter val="2025/8/28"/>
            <filter val="2025/8/25"/>
            <filter val="2025/10/28"/>
            <filter val="2025/8/26"/>
            <filter val="2025/10/27"/>
            <filter val="2025/8/22"/>
            <filter val="2025/10/22"/>
            <filter val="2025/10/23"/>
            <filter val="2025/10/21"/>
            <filter val="2025/10/30"/>
            <filter val="2025/6/30"/>
            <filter val="2026/2/6"/>
            <filter val="2026/2/5"/>
            <filter val="2026/2/4"/>
            <filter val="2025/6/23"/>
            <filter val="2026/1/20"/>
            <filter val="2026/1/21"/>
            <filter val="2025/6/20"/>
            <filter val="2025/9/8"/>
            <filter val="2026/1/26"/>
            <filter val="2026/1/27"/>
            <filter val="2026/1/28"/>
            <filter val="2026/1/29"/>
            <filter val="2025/9/1"/>
            <filter val="2026/1/2"/>
            <filter val="2025/7/29"/>
            <filter val="2025/7/24"/>
            <filter val="2025/7/25"/>
            <filter val="2025/7/22"/>
            <filter val="2026/1/9"/>
            <filter val="2025/7/21"/>
            <filter val="2026/1/7"/>
            <filter val="2026/1/6"/>
            <filter val="2026/1/12"/>
            <filter val="2026/1/13"/>
            <filter val="2026/1/14"/>
            <filter val="2026/1/15"/>
            <filter val="2025/7/18"/>
            <filter val="2025/7/10"/>
            <filter val="2025/5/26"/>
            <filter val="2025/5/28"/>
            <filter val="2026/3/11"/>
            <filter val="2026/3/12"/>
            <filter val="2026/4/2"/>
            <filter val="2026/3/17"/>
            <filter val="2026/3/19"/>
            <filter val="2026/4/9"/>
            <filter val="2025/5/12"/>
            <filter val="2025/7/9"/>
            <filter val="2025/7/8"/>
            <filter val="2025/7/1"/>
            <filter val="2025/7/3"/>
            <filter val="2025/7/2"/>
            <filter val="2025/7/4"/>
            <filter val="2025/10/3"/>
            <filter val="2025/10/9"/>
            <filter val="2025/5/19"/>
            <filter val="2025/10/8"/>
            <filter val="2025/10/7"/>
            <filter val="2025/6/18"/>
            <filter val="2025/6/10"/>
            <filter val="2026/3/4"/>
            <filter val="2026/2/24"/>
            <filter val="2026/3/2"/>
            <filter val="2026/2/26"/>
            <filter val="2026/2/10"/>
            <filter val="2026/2/12"/>
            <filter val="2026/2/11"/>
            <filter val="2026/2/13"/>
            <filter val="2026/4/21"/>
            <filter val="2025/12/19"/>
            <filter val="2025/9/23"/>
            <filter val="2025/9/22"/>
            <filter val="2026/4/23"/>
            <filter val="2025/12/12"/>
            <filter val="2025/12/11"/>
            <filter val="2026/4/27"/>
            <filter val="2025/9/19"/>
            <filter val="2025/9/18"/>
            <filter val="2025/9/16"/>
            <filter val="2025/9/15"/>
            <filter val="2025/12/29"/>
            <filter val="2025/9/11"/>
            <filter val="2026/4/17"/>
            <filter val="2025/12/24"/>
            <filter val="2025/12/23"/>
            <filter val="2025/12/22"/>
            <filter val="2025/12/30"/>
            <filter val="2025/12/8"/>
            <filter val="2025/5/5"/>
            <filter val="2025/12/2"/>
            <filter val="2025/12/1"/>
            <filter val="2025/12/4"/>
            <filter val="2026/3/31"/>
            <filter val="2025/11/28"/>
            <filter val="2026/5/6"/>
            <filter val="2026/5/4"/>
            <filter val="2025/11/25"/>
            <filter val="2025/11/21"/>
            <filter val="2026/5/8"/>
            <filter val="2026/5/7"/>
            <filter val="2026/3/20"/>
            <filter val="2026/3/24"/>
            <filter val="2026/3/26"/>
            <filter val="2026/3/25"/>
            <filter val="2025/9/30"/>
            <filter val="2026/3/27"/>
            <filter val="2025/6/3"/>
            <filter val="2025/11/4"/>
            <filter val="2025/11/3"/>
            <filter val="2025/11/7"/>
          </filters>
        </filterColumn>
      </autoFilter>
    </customSheetView>
    <customSheetView guid="{A7DCD378-BE92-4F6B-86EA-62F26452EACD}" filter="1" showAutoFilter="1">
      <autoFilter ref="$A$1:$T$1557">
        <filterColumn colId="7">
          <filters blank="1"/>
        </filterColumn>
      </autoFilter>
    </customSheetView>
    <customSheetView guid="{C38671D5-B70A-4D7B-B4C8-67AB6CF5C111}" filter="1" showAutoFilter="1">
      <autoFilter ref="$A$1:$T$444">
        <filterColumn colId="7">
          <filters>
            <filter val="覆驗失敗"/>
            <filter val="處理中"/>
            <filter val="待修正"/>
            <filter val="覆驗通過"/>
          </filters>
        </filterColumn>
      </autoFilter>
    </customSheetView>
    <customSheetView guid="{408563C7-9A46-408A-8EAF-8859B712717B}" filter="1" showAutoFilter="1">
      <autoFilter ref="$H$1:$H$560">
        <filterColumn colId="0">
          <filters>
            <filter val="覆驗失敗"/>
          </filters>
        </filterColumn>
      </autoFilter>
    </customSheetView>
    <customSheetView guid="{D84020A9-23BC-49C4-9751-8C9B8051D78D}" filter="1" showAutoFilter="1">
      <autoFilter ref="$A$1:$T$556">
        <filterColumn colId="7">
          <filters>
            <filter val="Phase2"/>
          </filters>
        </filterColumn>
        <filterColumn colId="2">
          <filters>
            <filter val="黃宜婷"/>
            <filter val="陳冠瑋"/>
            <filter val="雙週會"/>
            <filter val="陳志光反應"/>
            <filter val="教學"/>
            <filter val="薇伊"/>
            <filter val="教學2"/>
            <filter val="郭馨怡"/>
            <filter val="Ariel"/>
            <filter val="謝芋晴"/>
            <filter val="黃美慈"/>
          </filters>
        </filterColumn>
      </autoFilter>
    </customSheetView>
  </customSheetViews>
  <conditionalFormatting sqref="I1:I1557">
    <cfRule type="cellIs" dxfId="0" priority="1" operator="equal">
      <formula>"最高"</formula>
    </cfRule>
  </conditionalFormatting>
  <conditionalFormatting sqref="I1:I1557">
    <cfRule type="cellIs" dxfId="1" priority="2" operator="equal">
      <formula>"高"</formula>
    </cfRule>
  </conditionalFormatting>
  <conditionalFormatting sqref="H1:H1557">
    <cfRule type="cellIs" dxfId="2" priority="3" operator="equal">
      <formula>"待覆驗"</formula>
    </cfRule>
  </conditionalFormatting>
  <conditionalFormatting sqref="H1:H1557">
    <cfRule type="cellIs" dxfId="3" priority="4" operator="equal">
      <formula>"Close"</formula>
    </cfRule>
  </conditionalFormatting>
  <conditionalFormatting sqref="H1:H1557">
    <cfRule type="cellIs" dxfId="4" priority="5" operator="equal">
      <formula>"覆驗失敗"</formula>
    </cfRule>
  </conditionalFormatting>
  <conditionalFormatting sqref="H1:H1557">
    <cfRule type="cellIs" dxfId="5" priority="6" operator="equal">
      <formula>"覆驗通過"</formula>
    </cfRule>
  </conditionalFormatting>
  <conditionalFormatting sqref="H1:H1557">
    <cfRule type="cellIs" dxfId="6" priority="7" operator="equal">
      <formula>"處理中"</formula>
    </cfRule>
  </conditionalFormatting>
  <conditionalFormatting sqref="H1:H1557">
    <cfRule type="cellIs" dxfId="7" priority="8" operator="equal">
      <formula>"Cancel"</formula>
    </cfRule>
  </conditionalFormatting>
  <conditionalFormatting sqref="H1:H1557">
    <cfRule type="cellIs" dxfId="8" priority="9" operator="equal">
      <formula>"待確認"</formula>
    </cfRule>
  </conditionalFormatting>
  <conditionalFormatting sqref="H1:H1557">
    <cfRule type="cellIs" dxfId="9" priority="10" operator="equal">
      <formula>"待上版"</formula>
    </cfRule>
  </conditionalFormatting>
  <dataValidations>
    <dataValidation type="list" allowBlank="1" sqref="I3:I70 I72:I75 I78:I81 I83 I85:I97 I99:I117 I123:I143 I145:I182 I184:I186 I188:I192 I194:I204 I209:I210 I214:I218 I220:I238 I241 I243:I252 I254:I261 I263:I264 I266:I271 I273:I278 I281 I283 I286 I520">
      <formula1>"最高,高,中,低"</formula1>
    </dataValidation>
    <dataValidation type="list" allowBlank="1" sqref="H81:H82 H88:H91 H95:H96 H98:H101 H103 H105:H125 H127:H141 H143:H160 H162 H164:H165 H169:H172 H174:H178 H193 H199 H218 H220 H243 H250:H252 H254:H255 H258 H270 H322 H325 H327 H331 H338 H346 H349 H352:H354 H356 H374 H378:H379 H390:H391 H394 H406 H414:H415 H419 H422 H425 H444 H446:H447 H477:H478 H490:H491 H493 H500 H524 H526 H533 H536 H542 H551:H553 H557:H559 H577 H579 H590:H591 H593 H599 H605 H640 H642 H648 H650 H657 H666 H668 H675:H676 H690 H693">
      <formula1>"待修正,處理中,PR,待上UAT,待覆驗,覆驗通過,覆驗失敗,Cancel,Close,Phase2"</formula1>
    </dataValidation>
    <dataValidation type="list" allowBlank="1" sqref="I2">
      <formula1>"Critial,High,中,低"</formula1>
    </dataValidation>
    <dataValidation type="list" allowBlank="1" sqref="H2:H80 H83:H87 H92:H94 H97 H102 H104 H126 H142 H161 H163 H166:H168 H173 H179:H192 H194:H198 H200:H217 H219 H221:H242 H244:H249 H253 H256:H257 H259:H269 H271:H321 H323:H324 H326 H328:H330 H332:H337 H339:H345 H347:H348 H350:H351 H355 H357:H373 H375:H377 H380:H387 H389 H392:H393 H395:H405 H407:H413 H416:H418 H420:H421 H423:H424 H426:H443 H445 H448:H476 H479:H489 H492 H494:H499 H501:H523 H525 H527:H532 H534:H535 H537:H541 H543:H550 H554:H556 H560 H562 H564:H572 H574:H575 H578 H580:H589 H594:H598 H600 H602:H604 H606:H613 H615:H620 H622:H639 H641 H643:H647 H649 H651:H656 H658:H660 H662:H665 H667 H669:H674 H677 H679:H686 H691:H692 H694:H700 H702:H976">
      <formula1>"待修正,處理中,待上版,已修正,待覆驗,覆驗通過,覆驗失敗,Cancel,Close,Phase2"</formula1>
    </dataValidation>
  </dataValidations>
  <hyperlinks>
    <hyperlink r:id="rId1" ref="D530"/>
    <hyperlink r:id="rId2" ref="D577"/>
    <hyperlink r:id="rId3" ref="D611"/>
    <hyperlink r:id="rId4" ref="D623"/>
    <hyperlink r:id="rId5" ref="D628"/>
    <hyperlink r:id="rId6" ref="D631"/>
    <hyperlink r:id="rId7" ref="D637"/>
    <hyperlink r:id="rId8" ref="D638"/>
    <hyperlink r:id="rId9" ref="D678"/>
    <hyperlink r:id="rId10" ref="D679"/>
    <hyperlink r:id="rId11" ref="D683"/>
    <hyperlink r:id="rId12" ref="D686"/>
    <hyperlink r:id="rId13" location="%E7%9A%84%E8%BF%91%E3%84%92%E3%84%A7" ref="D691"/>
    <hyperlink r:id="rId14" ref="D695"/>
    <hyperlink r:id="rId15" ref="D704"/>
    <hyperlink r:id="rId16" ref="D719"/>
    <hyperlink r:id="rId17" ref="D727"/>
    <hyperlink r:id="rId18" ref="D751"/>
    <hyperlink r:id="rId19" ref="D774"/>
    <hyperlink r:id="rId20" ref="D788"/>
    <hyperlink r:id="rId21" ref="D799"/>
    <hyperlink r:id="rId22" ref="D808"/>
    <hyperlink r:id="rId23" ref="D810"/>
    <hyperlink r:id="rId24" ref="D819"/>
    <hyperlink r:id="rId25" ref="D826"/>
    <hyperlink r:id="rId26" ref="D827"/>
    <hyperlink r:id="rId27" ref="D829"/>
    <hyperlink r:id="rId28" ref="D846"/>
    <hyperlink r:id="rId29" ref="D850"/>
    <hyperlink r:id="rId30" ref="D864"/>
    <hyperlink r:id="rId31" ref="D865"/>
    <hyperlink r:id="rId32" ref="D869"/>
    <hyperlink r:id="rId33" ref="D874"/>
    <hyperlink r:id="rId34" ref="D881"/>
    <hyperlink r:id="rId35" ref="D882"/>
    <hyperlink r:id="rId36" ref="D886"/>
    <hyperlink r:id="rId37" ref="D887"/>
    <hyperlink r:id="rId38" ref="D940"/>
    <hyperlink r:id="rId39" ref="D944"/>
    <hyperlink r:id="rId40" ref="D973"/>
  </hyperlinks>
  <printOptions gridLines="1" horizontalCentered="1"/>
  <pageMargins bottom="0.25" footer="0.0" header="0.0" left="0.27263269552445846" right="0.24234017379951864" top="0.25"/>
  <pageSetup paperSize="9" cellComments="atEnd" orientation="landscape" pageOrder="overThenDown"/>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88"/>
    <col customWidth="1" min="7" max="7" width="18.63"/>
  </cols>
  <sheetData>
    <row r="1">
      <c r="A1" s="32" t="s">
        <v>1275</v>
      </c>
      <c r="B1" s="32"/>
      <c r="C1" s="32"/>
      <c r="D1" s="32"/>
      <c r="F1" s="18" t="s">
        <v>1276</v>
      </c>
      <c r="G1" s="18" t="s">
        <v>1277</v>
      </c>
      <c r="H1" s="18" t="s">
        <v>71</v>
      </c>
      <c r="I1" s="18" t="s">
        <v>1278</v>
      </c>
    </row>
    <row r="2">
      <c r="A2" s="32" t="s">
        <v>1279</v>
      </c>
      <c r="B2" s="71" t="s">
        <v>1280</v>
      </c>
      <c r="C2" s="32"/>
      <c r="D2" s="32"/>
      <c r="F2" s="33" t="s">
        <v>1281</v>
      </c>
      <c r="G2" s="16">
        <f>countifs('測試回報清單'!$I:$I,$F2,'測試回報清單'!$H:$H,"待修正")+countifs('測試回報清單'!$I:$I,$F2,'測試回報清單'!$H:$H,"處理中")+countifs('測試回報清單'!$I:$I,$F2,'測試回報清單'!$H:$H,"覆驗失敗")</f>
        <v>0</v>
      </c>
      <c r="H2" s="16">
        <f>countifs('測試回報清單'!$I:$I,$F2,'測試回報清單'!$H:$H,"待覆驗")</f>
        <v>0</v>
      </c>
      <c r="I2" s="16">
        <f>countifs('測試回報清單'!$I:$I,$F2,'測試回報清單'!$H:$H,"Close")+countifs('測試回報清單'!$I:$I,$F2,'測試回報清單'!$H:$H,"Cancel")+countifs('測試回報清單'!$I:$I,$F2,'測試回報清單'!$H:$H,"覆驗通過")</f>
        <v>0</v>
      </c>
    </row>
    <row r="3">
      <c r="A3" s="32" t="s">
        <v>1282</v>
      </c>
      <c r="B3" s="71" t="s">
        <v>1283</v>
      </c>
      <c r="C3" s="32"/>
      <c r="D3" s="32"/>
      <c r="F3" s="33" t="s">
        <v>854</v>
      </c>
      <c r="G3" s="16">
        <f>countifs('測試回報清單'!$I:$I,$F3,'測試回報清單'!$H:$H,"待修正")+countifs('測試回報清單'!$I:$I,$F3,'測試回報清單'!$H:$H,"處理中")+countifs('測試回報清單'!$I:$I,$F3,'測試回報清單'!$H:$H,"覆驗失敗")</f>
        <v>0</v>
      </c>
      <c r="H3" s="16">
        <f>countifs('測試回報清單'!$I:$I,$F3,'測試回報清單'!$H:$H,"待覆驗")</f>
        <v>1</v>
      </c>
      <c r="I3" s="16">
        <f>countifs('測試回報清單'!$I:$I,$F3,'測試回報清單'!$H:$H,"Close")+countifs('測試回報清單'!$I:$I,$F3,'測試回報清單'!$H:$H,"Cancel")+countifs('測試回報清單'!$I:$I,$F3,'測試回報清單'!$H:$H,"覆驗通過")</f>
        <v>1</v>
      </c>
    </row>
    <row r="4">
      <c r="A4" s="32" t="s">
        <v>1284</v>
      </c>
      <c r="B4" s="71" t="s">
        <v>1285</v>
      </c>
      <c r="C4" s="32"/>
      <c r="D4" s="32"/>
      <c r="F4" s="33" t="s">
        <v>24</v>
      </c>
      <c r="G4" s="16">
        <f>countifs('測試回報清單'!$I:$I,$F4,'測試回報清單'!$H:$H,"待修正")+countifs('測試回報清單'!$I:$I,$F4,'測試回報清單'!$H:$H,"處理中")+countifs('測試回報清單'!$I:$I,$F4,'測試回報清單'!$H:$H,"覆驗失敗")</f>
        <v>0</v>
      </c>
      <c r="H4" s="16">
        <f>countifs('測試回報清單'!$I:$I,$F4,'測試回報清單'!$H:$H,"待覆驗")</f>
        <v>3</v>
      </c>
      <c r="I4" s="16">
        <f>countifs('測試回報清單'!$I:$I,$F4,'測試回報清單'!$H:$H,"Close")+countifs('測試回報清單'!$I:$I,$F4,'測試回報清單'!$H:$H,"Cancel")+countifs('測試回報清單'!$I:$I,$F4,'測試回報清單'!$H:$H,"覆驗通過")</f>
        <v>93</v>
      </c>
    </row>
    <row r="5">
      <c r="A5" s="32" t="s">
        <v>1286</v>
      </c>
      <c r="B5" s="71" t="s">
        <v>1287</v>
      </c>
      <c r="C5" s="32"/>
      <c r="D5" s="32"/>
      <c r="F5" s="33" t="s">
        <v>65</v>
      </c>
      <c r="G5" s="16">
        <f>countifs('測試回報清單'!$I:$I,$F5,'測試回報清單'!$H:$H,"待修正")+countifs('測試回報清單'!$I:$I,$F5,'測試回報清單'!$H:$H,"處理中")+countifs('測試回報清單'!$I:$I,$F5,'測試回報清單'!$H:$H,"覆驗失敗")</f>
        <v>4</v>
      </c>
      <c r="H5" s="16">
        <f>countifs('測試回報清單'!$I:$I,$F5,'測試回報清單'!$H:$H,"待覆驗")</f>
        <v>7</v>
      </c>
      <c r="I5" s="16">
        <f>countifs('測試回報清單'!$I:$I,$F5,'測試回報清單'!$H:$H,"Close")+countifs('測試回報清單'!$I:$I,$F5,'測試回報清單'!$H:$H,"Cancel")+countifs('測試回報清單'!$I:$I,$F5,'測試回報清單'!$H:$H,"覆驗通過")</f>
        <v>129</v>
      </c>
    </row>
    <row r="9">
      <c r="F9" s="18" t="s">
        <v>1288</v>
      </c>
      <c r="G9" s="18" t="s">
        <v>1277</v>
      </c>
      <c r="H9" s="18" t="s">
        <v>71</v>
      </c>
      <c r="I9" s="18" t="s">
        <v>1278</v>
      </c>
    </row>
    <row r="10">
      <c r="F10" s="33" t="s">
        <v>1281</v>
      </c>
      <c r="G10" s="16">
        <f>countifs('測試回報清單'!$I:$I,$F10,'測試回報清單'!$H:$H,"待修正",'測試回報清單'!B:B,"&lt;"&amp;"2023/10/23")+countifs('測試回報清單'!$I:$I,$F10,'測試回報清單'!$H:$H,"處理中",'測試回報清單'!B:B,"&lt;"&amp;"2023/10/23")+countifs('測試回報清單'!$I:$I,$F10,'測試回報清單'!$H:$H,"覆驗失敗",'測試回報清單'!B:B,"&lt;"&amp;"2023/10/23")</f>
        <v>0</v>
      </c>
      <c r="H10" s="16">
        <f>countifs('測試回報清單'!$I:$I,$F10,'測試回報清單'!$H:$H,"待覆驗",'測試回報清單'!B:B,"&lt;"&amp;"2023/10/23")</f>
        <v>0</v>
      </c>
      <c r="I10" s="16">
        <f>countifs('測試回報清單'!$I:$I,$F10,'測試回報清單'!$H:$H,"Close",'測試回報清單'!B:B,"&lt;"&amp;"2023/10/23")+countifs('測試回報清單'!$I:$I,$F10,'測試回報清單'!$H:$H,"Cancel",'測試回報清單'!B:B,"&lt;"&amp;"2023/10/23")+countifs('測試回報清單'!$I:$I,$F10,'測試回報清單'!$H:$H,"覆驗通過",'測試回報清單'!B:B,"&lt;"&amp;"2023/10/23")</f>
        <v>0</v>
      </c>
    </row>
    <row r="11">
      <c r="F11" s="33" t="s">
        <v>854</v>
      </c>
      <c r="G11" s="16">
        <f>countifs('測試回報清單'!$I:$I,$F11,'測試回報清單'!$H:$H,"待修正",'測試回報清單'!B:B,"&lt;"&amp;"2023/10/23")+countifs('測試回報清單'!$I:$I,$F11,'測試回報清單'!$H:$H,"處理中",'測試回報清單'!B:B,"&lt;"&amp;"2023/10/23")+countifs('測試回報清單'!$I:$I,$F11,'測試回報清單'!$H:$H,"覆驗失敗",'測試回報清單'!B:B,"&lt;"&amp;"2023/10/23")</f>
        <v>0</v>
      </c>
      <c r="H11" s="16">
        <f>countifs('測試回報清單'!$I:$I,$F11,'測試回報清單'!$H:$H,"待覆驗",'測試回報清單'!B:B,"&lt;"&amp;"2023/10/23")</f>
        <v>0</v>
      </c>
      <c r="I11" s="16">
        <f>countifs('測試回報清單'!$I:$I,$F11,'測試回報清單'!$H:$H,"Close",'測試回報清單'!B:B,"&lt;"&amp;"2023/10/23")+countifs('測試回報清單'!$I:$I,$F11,'測試回報清單'!$H:$H,"Cancel",'測試回報清單'!B:B,"&lt;"&amp;"2023/10/23")+countifs('測試回報清單'!$I:$I,$F11,'測試回報清單'!$H:$H,"覆驗通過",'測試回報清單'!B:B,"&lt;"&amp;"2023/10/23")</f>
        <v>0</v>
      </c>
    </row>
    <row r="12">
      <c r="F12" s="33" t="s">
        <v>24</v>
      </c>
      <c r="G12" s="16">
        <f>countifs('測試回報清單'!$I:$I,$F12,'測試回報清單'!$H:$H,"待修正",'測試回報清單'!B:B,"&lt;"&amp;"2023/10/23")+countifs('測試回報清單'!$I:$I,$F12,'測試回報清單'!$H:$H,"處理中",'測試回報清單'!B:B,"&lt;"&amp;"2023/10/23")+countifs('測試回報清單'!$I:$I,$F12,'測試回報清單'!$H:$H,"覆驗失敗",'測試回報清單'!B:B,"&lt;"&amp;"2023/10/23")</f>
        <v>0</v>
      </c>
      <c r="H12" s="16">
        <f>countifs('測試回報清單'!$I:$I,$F12,'測試回報清單'!$H:$H,"待覆驗",'測試回報清單'!B:B,"&lt;"&amp;"2023/10/23")</f>
        <v>2</v>
      </c>
      <c r="I12" s="16">
        <f>countifs('測試回報清單'!$I:$I,$F12,'測試回報清單'!$H:$H,"Close",'測試回報清單'!B:B,"&lt;"&amp;"2023/10/23")+countifs('測試回報清單'!$I:$I,$F12,'測試回報清單'!$H:$H,"Cancel",'測試回報清單'!B:B,"&lt;"&amp;"2023/10/23")+countifs('測試回報清單'!$I:$I,$F12,'測試回報清單'!$H:$H,"覆驗通過",'測試回報清單'!B:B,"&lt;"&amp;"2023/10/23")</f>
        <v>88</v>
      </c>
    </row>
    <row r="13">
      <c r="F13" s="33" t="s">
        <v>65</v>
      </c>
      <c r="G13" s="16">
        <f>countifs('測試回報清單'!$I:$I,$F13,'測試回報清單'!$H:$H,"待修正",'測試回報清單'!B:B,"&lt;"&amp;"2023/10/23")+countifs('測試回報清單'!$I:$I,$F13,'測試回報清單'!$H:$H,"處理中",'測試回報清單'!B:B,"&lt;"&amp;"2023/10/23")+countifs('測試回報清單'!$I:$I,$F13,'測試回報清單'!$H:$H,"覆驗失敗",'測試回報清單'!B:B,"&lt;"&amp;"2023/10/23")</f>
        <v>1</v>
      </c>
      <c r="H13" s="16">
        <f>countifs('測試回報清單'!$I:$I,$F13,'測試回報清單'!$H:$H,"待覆驗",'測試回報清單'!B:B,"&lt;"&amp;"2023/10/23")</f>
        <v>1</v>
      </c>
      <c r="I13" s="16">
        <f>countifs('測試回報清單'!$I:$I,$F13,'測試回報清單'!$H:$H,"Close",'測試回報清單'!B:B,"&lt;"&amp;"2023/10/23")+countifs('測試回報清單'!$I:$I,$F13,'測試回報清單'!$H:$H,"Cancel",'測試回報清單'!B:B,"&lt;"&amp;"2023/10/23")+countifs('測試回報清單'!$I:$I,$F13,'測試回報清單'!$H:$H,"覆驗通過",'測試回報清單'!B:B,"&lt;"&amp;"2023/10/23")</f>
        <v>59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8" t="s">
        <v>1289</v>
      </c>
    </row>
    <row r="2">
      <c r="A2" s="18" t="s">
        <v>1290</v>
      </c>
    </row>
  </sheetData>
  <drawing r:id="rId1"/>
</worksheet>
</file>